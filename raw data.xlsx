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mailtauacil-my.sharepoint.com/personal/arikdorfman_mail_tau_ac_il/Documents/מחקר/2025/gerbil maze/for_ecology/ReportSub/raw data/"/>
    </mc:Choice>
  </mc:AlternateContent>
  <xr:revisionPtr revIDLastSave="533" documentId="8_{0591634D-9225-4003-B302-832F9BA805AF}" xr6:coauthVersionLast="47" xr6:coauthVersionMax="47" xr10:uidLastSave="{1258498E-7EBB-4894-92C9-5EC107347075}"/>
  <bookViews>
    <workbookView xWindow="-110" yWindow="-110" windowWidth="19420" windowHeight="11500" firstSheet="1" activeTab="1" xr2:uid="{00000000-000D-0000-FFFF-FFFF00000000}"/>
  </bookViews>
  <sheets>
    <sheet name="time_analysis (2)" sheetId="7" state="hidden" r:id="rId1"/>
    <sheet name="title" sheetId="11" r:id="rId2"/>
    <sheet name="keys" sheetId="8" r:id="rId3"/>
    <sheet name="maze" sheetId="1" r:id="rId4"/>
    <sheet name="control" sheetId="9" r:id="rId5"/>
  </sheets>
  <definedNames>
    <definedName name="_xlnm._FilterDatabase" localSheetId="0" hidden="1">'time_analysis (2)'!$A$1:$F$698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1" l="1"/>
  <c r="R4" i="1"/>
  <c r="R5" i="1"/>
  <c r="I697" i="7"/>
  <c r="I695" i="7"/>
  <c r="I693" i="7"/>
  <c r="I691" i="7"/>
  <c r="I689" i="7"/>
  <c r="I686" i="7"/>
  <c r="I685" i="7"/>
  <c r="I683" i="7"/>
  <c r="I678" i="7"/>
  <c r="I668" i="7"/>
  <c r="I657" i="7"/>
  <c r="I650" i="7"/>
  <c r="I648" i="7"/>
  <c r="I605" i="7"/>
  <c r="I601" i="7"/>
  <c r="I599" i="7"/>
  <c r="I596" i="7"/>
  <c r="G596" i="7" s="1"/>
  <c r="I584" i="7"/>
  <c r="I582" i="7"/>
  <c r="I567" i="7"/>
  <c r="I498" i="7"/>
  <c r="I489" i="7"/>
  <c r="G489" i="7" s="1"/>
  <c r="I477" i="7"/>
  <c r="I475" i="7"/>
  <c r="I473" i="7"/>
  <c r="I471" i="7"/>
  <c r="I427" i="7"/>
  <c r="I421" i="7"/>
  <c r="I420" i="7"/>
  <c r="I419" i="7"/>
  <c r="I413" i="7"/>
  <c r="I409" i="7"/>
  <c r="I403" i="7"/>
  <c r="G403" i="7" s="1"/>
  <c r="I402" i="7"/>
  <c r="I397" i="7"/>
  <c r="I377" i="7"/>
  <c r="I341" i="7"/>
  <c r="I339" i="7"/>
  <c r="I335" i="7"/>
  <c r="I317" i="7"/>
  <c r="I315" i="7"/>
  <c r="I305" i="7"/>
  <c r="I297" i="7"/>
  <c r="G297" i="7" s="1"/>
  <c r="I252" i="7"/>
  <c r="I249" i="7"/>
  <c r="I233" i="7"/>
  <c r="I226" i="7"/>
  <c r="I222" i="7"/>
  <c r="I201" i="7"/>
  <c r="I187" i="7"/>
  <c r="I111" i="7"/>
  <c r="I97" i="7"/>
  <c r="I95" i="7"/>
  <c r="I82" i="7"/>
  <c r="I79" i="7"/>
  <c r="I74" i="7"/>
  <c r="I69" i="7"/>
  <c r="I64" i="7"/>
  <c r="I61" i="7"/>
  <c r="I41" i="7"/>
  <c r="I40" i="7"/>
  <c r="I39" i="7"/>
  <c r="I15" i="7"/>
  <c r="I12" i="7"/>
  <c r="I11" i="7"/>
  <c r="I9" i="7"/>
  <c r="I7" i="7"/>
  <c r="I2" i="7"/>
  <c r="G2" i="7" s="1"/>
  <c r="B292" i="7"/>
  <c r="I292" i="7" s="1"/>
  <c r="B291" i="7"/>
  <c r="B290" i="7"/>
  <c r="B289" i="7"/>
  <c r="I289" i="7" s="1"/>
  <c r="B288" i="7"/>
  <c r="B287" i="7"/>
  <c r="B286" i="7"/>
  <c r="B285" i="7"/>
  <c r="B284" i="7"/>
  <c r="B283" i="7"/>
  <c r="B282" i="7"/>
  <c r="B281" i="7"/>
  <c r="B280" i="7"/>
  <c r="B279" i="7"/>
  <c r="B278" i="7"/>
  <c r="B277" i="7"/>
  <c r="B276" i="7"/>
  <c r="I276" i="7" s="1"/>
  <c r="B275" i="7"/>
  <c r="B274" i="7"/>
  <c r="I274" i="7" s="1"/>
  <c r="B273" i="7"/>
  <c r="B272" i="7"/>
  <c r="B271" i="7"/>
  <c r="B270" i="7"/>
  <c r="B269" i="7"/>
  <c r="B268" i="7"/>
  <c r="B267" i="7"/>
  <c r="I267" i="7" s="1"/>
  <c r="B266" i="7"/>
  <c r="B265" i="7"/>
  <c r="B264" i="7"/>
  <c r="I264" i="7" s="1"/>
  <c r="B178" i="7"/>
  <c r="I178" i="7" s="1"/>
  <c r="B177" i="7"/>
  <c r="I177" i="7" s="1"/>
  <c r="B176" i="7"/>
  <c r="B175" i="7"/>
  <c r="B174" i="7"/>
  <c r="B173" i="7"/>
  <c r="B172" i="7"/>
  <c r="B171" i="7"/>
  <c r="I171" i="7" s="1"/>
  <c r="B170" i="7"/>
  <c r="B169" i="7"/>
  <c r="B168" i="7"/>
  <c r="B167" i="7"/>
  <c r="B166" i="7"/>
  <c r="B165" i="7"/>
  <c r="B164" i="7"/>
  <c r="B163" i="7"/>
  <c r="B162" i="7"/>
  <c r="B161" i="7"/>
  <c r="B160" i="7"/>
  <c r="I160" i="7" s="1"/>
  <c r="B159" i="7"/>
  <c r="B158" i="7"/>
  <c r="B157" i="7"/>
  <c r="B156" i="7"/>
  <c r="B155" i="7"/>
  <c r="B154" i="7"/>
  <c r="B153" i="7"/>
  <c r="B152" i="7"/>
  <c r="B151" i="7"/>
  <c r="B150" i="7"/>
  <c r="B149" i="7"/>
  <c r="B148" i="7"/>
  <c r="B147" i="7"/>
  <c r="B146" i="7"/>
  <c r="B145" i="7"/>
  <c r="B144" i="7"/>
  <c r="B143" i="7"/>
  <c r="B142" i="7"/>
  <c r="B141" i="7"/>
  <c r="B140" i="7"/>
  <c r="B139" i="7"/>
  <c r="B138" i="7"/>
  <c r="B137" i="7"/>
  <c r="B136" i="7"/>
  <c r="B135" i="7"/>
  <c r="B134" i="7"/>
  <c r="B133" i="7"/>
  <c r="B132" i="7"/>
  <c r="B131" i="7"/>
  <c r="B130" i="7"/>
  <c r="B129" i="7"/>
  <c r="B128" i="7"/>
  <c r="B127" i="7"/>
  <c r="B126" i="7"/>
  <c r="B125" i="7"/>
  <c r="B124" i="7"/>
  <c r="B123" i="7"/>
  <c r="B122" i="7"/>
  <c r="B121" i="7"/>
  <c r="I121" i="7" s="1"/>
  <c r="B120" i="7"/>
  <c r="I120" i="7" s="1"/>
  <c r="B119" i="7"/>
  <c r="B118" i="7"/>
  <c r="I118" i="7" s="1"/>
  <c r="B117" i="7"/>
  <c r="B116" i="7"/>
  <c r="B115" i="7"/>
  <c r="I115" i="7" s="1"/>
  <c r="B114" i="7"/>
  <c r="B113" i="7"/>
  <c r="B111" i="7"/>
  <c r="B110" i="7"/>
  <c r="B109" i="7"/>
  <c r="B108" i="7"/>
  <c r="I108" i="7" s="1"/>
  <c r="B107" i="7"/>
  <c r="B106" i="7"/>
  <c r="I106" i="7" s="1"/>
  <c r="B105" i="7"/>
  <c r="C103" i="7"/>
  <c r="C102" i="7"/>
  <c r="B103" i="7" s="1"/>
  <c r="I103" i="7" s="1"/>
  <c r="C101" i="7"/>
  <c r="B102" i="7" s="1"/>
  <c r="C100" i="7"/>
  <c r="B101" i="7" s="1"/>
  <c r="I101" i="7" s="1"/>
  <c r="C99" i="7"/>
  <c r="B100" i="7" s="1"/>
  <c r="C98" i="7"/>
  <c r="B99" i="7" s="1"/>
  <c r="I99" i="7" s="1"/>
  <c r="C97" i="7"/>
  <c r="B98" i="7" s="1"/>
  <c r="C96" i="7"/>
  <c r="B97" i="7" s="1"/>
  <c r="C95" i="7"/>
  <c r="B96" i="7" s="1"/>
  <c r="C94" i="7"/>
  <c r="B95" i="7" s="1"/>
  <c r="C93" i="7"/>
  <c r="B94" i="7" s="1"/>
  <c r="C92" i="7"/>
  <c r="B93" i="7" s="1"/>
  <c r="I93" i="7" s="1"/>
  <c r="C91" i="7"/>
  <c r="B92" i="7" s="1"/>
  <c r="C90" i="7"/>
  <c r="B91" i="7" s="1"/>
  <c r="C89" i="7"/>
  <c r="B90" i="7" s="1"/>
  <c r="C88" i="7"/>
  <c r="C87" i="7"/>
  <c r="B88" i="7" s="1"/>
  <c r="I88" i="7" s="1"/>
  <c r="C86" i="7"/>
  <c r="B87" i="7" s="1"/>
  <c r="I87" i="7" s="1"/>
  <c r="C85" i="7"/>
  <c r="B86" i="7" s="1"/>
  <c r="C84" i="7"/>
  <c r="B85" i="7" s="1"/>
  <c r="C83" i="7"/>
  <c r="B84" i="7" s="1"/>
  <c r="G187" i="7" l="1"/>
  <c r="G115" i="7"/>
  <c r="B104" i="7"/>
  <c r="B89" i="7"/>
  <c r="I89" i="7" s="1"/>
  <c r="G87" i="7" s="1"/>
</calcChain>
</file>

<file path=xl/sharedStrings.xml><?xml version="1.0" encoding="utf-8"?>
<sst xmlns="http://schemas.openxmlformats.org/spreadsheetml/2006/main" count="1528" uniqueCount="124">
  <si>
    <t>trial</t>
  </si>
  <si>
    <t>date</t>
  </si>
  <si>
    <t>species</t>
  </si>
  <si>
    <t>competition</t>
  </si>
  <si>
    <t>gerbillus andersoni</t>
  </si>
  <si>
    <t>note</t>
  </si>
  <si>
    <t>stage</t>
  </si>
  <si>
    <t>experiment_number</t>
  </si>
  <si>
    <t>start</t>
  </si>
  <si>
    <t>end</t>
  </si>
  <si>
    <t>location</t>
  </si>
  <si>
    <t>activity</t>
  </si>
  <si>
    <t>maze_tray</t>
  </si>
  <si>
    <t>discover</t>
  </si>
  <si>
    <t>foraging</t>
  </si>
  <si>
    <t>burrow</t>
  </si>
  <si>
    <t>hiding</t>
  </si>
  <si>
    <t>open</t>
  </si>
  <si>
    <t>vigilant</t>
  </si>
  <si>
    <t>contact</t>
  </si>
  <si>
    <t>maze_level</t>
  </si>
  <si>
    <t>solving</t>
  </si>
  <si>
    <t>no_maze_tray</t>
  </si>
  <si>
    <t>cleaning</t>
  </si>
  <si>
    <t>inside</t>
  </si>
  <si>
    <t>trapped</t>
  </si>
  <si>
    <t>bush_near_burrow</t>
  </si>
  <si>
    <t>second burrow</t>
  </si>
  <si>
    <t>an owl passed twice above the trays</t>
  </si>
  <si>
    <t>stashing</t>
  </si>
  <si>
    <t>chasing</t>
  </si>
  <si>
    <t>installing maze</t>
  </si>
  <si>
    <t>stash</t>
  </si>
  <si>
    <t>digging</t>
  </si>
  <si>
    <t>checking trays</t>
  </si>
  <si>
    <t>probably a mother - a young gerbil was seen entering her burrow</t>
  </si>
  <si>
    <t>microhabitat</t>
  </si>
  <si>
    <t>semi</t>
  </si>
  <si>
    <t>stable</t>
  </si>
  <si>
    <t>gerbil deffended at least two bushes, visited at last four and entered at least two burrows under a single bush</t>
  </si>
  <si>
    <t xml:space="preserve">young. </t>
  </si>
  <si>
    <t>owl screeched an hour before trial. Dug a new burrow next to trays</t>
  </si>
  <si>
    <t>the second tray the gerbil encountered became the maze tray.</t>
  </si>
  <si>
    <t>Dug a new burrow next to trays (and covered the openning with sand). Probably male</t>
  </si>
  <si>
    <t>probably male</t>
  </si>
  <si>
    <t>the second tray the gerbil encountered became the maze tray. Dug a new burrow next to trays</t>
  </si>
  <si>
    <t>other gerbil and jerboa showed after an hour. Gerbil started to dig burrow after an hour.</t>
  </si>
  <si>
    <t>shifting</t>
  </si>
  <si>
    <t>trial = trial index</t>
  </si>
  <si>
    <t>date = trial date</t>
  </si>
  <si>
    <t>species = the species of the gerbil that did the trial</t>
  </si>
  <si>
    <t>competition = is another gerbil tried to take seeds from the trays? (y = 0, n = 1)</t>
  </si>
  <si>
    <t>stage = the last stage of the maze that the gerbil solved</t>
  </si>
  <si>
    <t>microhabitat = the microhabitat in which the trial took place (stable/semi-stable/shifting sands)</t>
  </si>
  <si>
    <t>gerbil had at least three burrows under three different bushes</t>
  </si>
  <si>
    <t>Dug a new burrow next to trays</t>
  </si>
  <si>
    <t>sex</t>
  </si>
  <si>
    <t>weight</t>
  </si>
  <si>
    <t>male</t>
  </si>
  <si>
    <t>34.6038110, 31.7457990</t>
  </si>
  <si>
    <t>coordinates</t>
  </si>
  <si>
    <t>not found</t>
  </si>
  <si>
    <t>34.6031353, 31.7452863</t>
  </si>
  <si>
    <t>gerbillus floweri</t>
  </si>
  <si>
    <t>34.6038497, 31.7449006</t>
  </si>
  <si>
    <t>four gerbils courting and mating</t>
  </si>
  <si>
    <t>15/04/02025</t>
  </si>
  <si>
    <t xml:space="preserve">the second tray the gerbil encountered became the maze tray. </t>
  </si>
  <si>
    <t xml:space="preserve">first record of competition on a full moon night. </t>
  </si>
  <si>
    <t>34.602318, 31.745223</t>
  </si>
  <si>
    <t>female</t>
  </si>
  <si>
    <t>31.7453043, 34.6034253</t>
  </si>
  <si>
    <t>31.7448110, 34.6036908</t>
  </si>
  <si>
    <t>31.7450922, 34.6040046</t>
  </si>
  <si>
    <t>31.7454665, 34.6040770</t>
  </si>
  <si>
    <t>competition with female g.andersoni 27g and foraging along a juvinile g.floweri 17g - probably offspring.</t>
  </si>
  <si>
    <t>cycle</t>
  </si>
  <si>
    <t>cycle = 1-new, 2-wax crescent, 3 - first quarter, 4-wax gibbous, 5-full moon, 6- wane gibbous, 7-third quarter, 8-wane crescent</t>
  </si>
  <si>
    <t>31.7460242, 34.6038762</t>
  </si>
  <si>
    <t>31.7454628, 34.6032908</t>
  </si>
  <si>
    <t>lactating</t>
  </si>
  <si>
    <t>Male</t>
  </si>
  <si>
    <t>31.7461189, 34.6031493</t>
  </si>
  <si>
    <t>31.7455090, 31.6033109</t>
  </si>
  <si>
    <t>cub</t>
  </si>
  <si>
    <t>marked individual</t>
  </si>
  <si>
    <t>seeds.first</t>
  </si>
  <si>
    <t>seeds.second</t>
  </si>
  <si>
    <t>seeds.first = weight of seeds (gram) at the end of the trial in the maze tray</t>
  </si>
  <si>
    <t>seeds.second = weight of seeds (gram) at the end of the trial in the second tray</t>
  </si>
  <si>
    <t>start.time</t>
  </si>
  <si>
    <t>start.time = trial start time</t>
  </si>
  <si>
    <t>burrow.distance</t>
  </si>
  <si>
    <t xml:space="preserve">burrow.distance = distance to gerbils burrow in cm. </t>
  </si>
  <si>
    <t>new.burrow</t>
  </si>
  <si>
    <t>new.burrow = is the gerbil dug a new burrow near the trays? (y = 0, n = 1)</t>
  </si>
  <si>
    <t>moonlight</t>
  </si>
  <si>
    <t>moonlight = moon light proportion</t>
  </si>
  <si>
    <t>sum_f.second</t>
  </si>
  <si>
    <t>sum_f.second = total time foraging control, including after the trial was over and the trays were yet to be taken.</t>
  </si>
  <si>
    <t>sum_f.maze</t>
  </si>
  <si>
    <t>sum_f.maze = total time foraging maze, including after the trial was over and the trays were yet to be taken.</t>
  </si>
  <si>
    <t>sum_trial.length = length of the time period since the gerbil found the trays and until they were removed.</t>
  </si>
  <si>
    <t>sum_trial.length</t>
  </si>
  <si>
    <t>young (offspring of #10?). Dug a new burrow next to trays</t>
  </si>
  <si>
    <t>fox sniffed the trays two hours before experiment. there were ants in the trays. Dug a new burrow next to trays</t>
  </si>
  <si>
    <t>Dug a new burrow next to trays.</t>
  </si>
  <si>
    <t>competition with male g.andersoni 35g (burrow 11m from trays).</t>
  </si>
  <si>
    <t>g. floweri passed by but didn’t go to the trays</t>
  </si>
  <si>
    <t>competition with female g.andersoni 35g (burrow 13m from trays).</t>
  </si>
  <si>
    <t>notes</t>
  </si>
  <si>
    <t>A cyclic and predictable stressor enhances exploitation and reduces exploration: The moon's phase effect on wild gerbils</t>
  </si>
  <si>
    <t>by:</t>
  </si>
  <si>
    <t>Arik Dorfman, Aziz Subach, Shachaf Avraham, Or Meir Manzur, Gili Kaufmann, Inon Scharf</t>
  </si>
  <si>
    <t>the dataset includes:</t>
  </si>
  <si>
    <t>keys</t>
  </si>
  <si>
    <t>definitions of the abbreviations used in the dataset</t>
  </si>
  <si>
    <t>maze</t>
  </si>
  <si>
    <t>control</t>
  </si>
  <si>
    <t>data collected in the maze treatment (red cells were excluded from analysis)</t>
  </si>
  <si>
    <t>data collected in the control treatment (red cells were excluded from analysis)</t>
  </si>
  <si>
    <t>Raw data: Supporting information for the manuscript</t>
  </si>
  <si>
    <t>trays were less than a meter apart</t>
  </si>
  <si>
    <t>*Cells in red represent data that were not used in the analysis: in the 'maze' section, in trials 2-12, 14-16, the seeds were collected after more than an hour, so the seeds' weight was not used in the analysis, but the video was analyzed. In trials 31,32 the gerbils were already marked by us, so the videos were not analyzed and seed data was not used. In the 'control' section, trials 4,5 were excluded from analysis due to technical problems (see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</si>
</sst>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3" x14ac:knownFonts="1">
    <font>
      <sz val="11"/>
      <color theme="1"/>
      <name val="Calibri"/>
      <family val="2"/>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rgb="FF9C0006"/>
      <name val="Calibri"/>
      <family val="2"/>
      <charset val="177"/>
      <scheme val="minor"/>
    </font>
    <font>
      <sz val="11"/>
      <color rgb="FF006100"/>
      <name val="Calibri"/>
      <family val="2"/>
      <charset val="177"/>
      <scheme val="minor"/>
    </font>
    <font>
      <sz val="11"/>
      <color rgb="FF9C5700"/>
      <name val="Calibri"/>
      <family val="2"/>
      <charset val="177"/>
      <scheme val="minor"/>
    </font>
    <font>
      <sz val="12"/>
      <color theme="1"/>
      <name val="Calibri"/>
      <family val="2"/>
      <scheme val="minor"/>
    </font>
    <font>
      <i/>
      <sz val="11"/>
      <color theme="1"/>
      <name val="Calibri"/>
      <family val="2"/>
      <scheme val="minor"/>
    </font>
    <font>
      <i/>
      <sz val="11"/>
      <color rgb="FF9C0006"/>
      <name val="Calibri"/>
      <family val="2"/>
      <scheme val="minor"/>
    </font>
    <font>
      <sz val="11"/>
      <color theme="1"/>
      <name val="Calibri"/>
      <family val="2"/>
      <scheme val="minor"/>
    </font>
    <font>
      <sz val="14"/>
      <color theme="1"/>
      <name val="Calibri"/>
      <family val="2"/>
      <scheme val="minor"/>
    </font>
    <font>
      <b/>
      <sz val="14"/>
      <color theme="1"/>
      <name val="Calibri"/>
      <family val="2"/>
      <scheme val="minor"/>
    </font>
  </fonts>
  <fills count="5">
    <fill>
      <patternFill patternType="none"/>
    </fill>
    <fill>
      <patternFill patternType="gray125"/>
    </fill>
    <fill>
      <patternFill patternType="solid">
        <fgColor rgb="FFFFC7CE"/>
      </patternFill>
    </fill>
    <fill>
      <patternFill patternType="solid">
        <fgColor rgb="FFC6EFCE"/>
      </patternFill>
    </fill>
    <fill>
      <patternFill patternType="solid">
        <fgColor rgb="FFFFEB9C"/>
      </patternFill>
    </fill>
  </fills>
  <borders count="2">
    <border>
      <left/>
      <right/>
      <top/>
      <bottom/>
      <diagonal/>
    </border>
    <border>
      <left/>
      <right/>
      <top/>
      <bottom style="thin">
        <color indexed="64"/>
      </bottom>
      <diagonal/>
    </border>
  </borders>
  <cellStyleXfs count="5">
    <xf numFmtId="0" fontId="0" fillId="0" borderId="0"/>
    <xf numFmtId="0" fontId="4" fillId="2" borderId="0" applyNumberFormat="0" applyBorder="0" applyAlignment="0" applyProtection="0"/>
    <xf numFmtId="0" fontId="5" fillId="3" borderId="0" applyNumberFormat="0" applyBorder="0" applyAlignment="0" applyProtection="0"/>
    <xf numFmtId="0" fontId="6" fillId="4" borderId="0" applyNumberFormat="0" applyBorder="0" applyAlignment="0" applyProtection="0"/>
    <xf numFmtId="0" fontId="3" fillId="0" borderId="0"/>
  </cellStyleXfs>
  <cellXfs count="37">
    <xf numFmtId="0" fontId="0" fillId="0" borderId="0" xfId="0"/>
    <xf numFmtId="0" fontId="0" fillId="0" borderId="0" xfId="0" applyAlignment="1">
      <alignment horizontal="left"/>
    </xf>
    <xf numFmtId="0" fontId="0" fillId="0" borderId="1" xfId="0" applyBorder="1" applyAlignment="1">
      <alignment horizontal="left"/>
    </xf>
    <xf numFmtId="0" fontId="5" fillId="3" borderId="0" xfId="2" applyAlignment="1">
      <alignment horizontal="left"/>
    </xf>
    <xf numFmtId="0" fontId="6" fillId="4" borderId="0" xfId="3" applyAlignment="1">
      <alignment horizontal="left"/>
    </xf>
    <xf numFmtId="0" fontId="6" fillId="4" borderId="1" xfId="3" applyBorder="1" applyAlignment="1">
      <alignment horizontal="left"/>
    </xf>
    <xf numFmtId="0" fontId="5" fillId="3" borderId="0" xfId="2" applyBorder="1" applyAlignment="1">
      <alignment horizontal="left"/>
    </xf>
    <xf numFmtId="0" fontId="6" fillId="4" borderId="0" xfId="3" applyBorder="1" applyAlignment="1">
      <alignment horizontal="left"/>
    </xf>
    <xf numFmtId="0" fontId="4" fillId="2" borderId="0" xfId="1" applyAlignment="1">
      <alignment horizontal="left"/>
    </xf>
    <xf numFmtId="0" fontId="4" fillId="2" borderId="1" xfId="1" applyBorder="1" applyAlignment="1">
      <alignment horizontal="left"/>
    </xf>
    <xf numFmtId="0" fontId="4" fillId="2" borderId="0" xfId="1" applyBorder="1" applyAlignment="1">
      <alignment horizontal="left"/>
    </xf>
    <xf numFmtId="0" fontId="6" fillId="4" borderId="0" xfId="3" applyNumberFormat="1" applyAlignment="1">
      <alignment horizontal="left"/>
    </xf>
    <xf numFmtId="0" fontId="6" fillId="4" borderId="1" xfId="3" applyNumberFormat="1" applyBorder="1" applyAlignment="1">
      <alignment horizontal="left"/>
    </xf>
    <xf numFmtId="164" fontId="0" fillId="0" borderId="0" xfId="0" applyNumberFormat="1" applyAlignment="1">
      <alignment horizontal="left"/>
    </xf>
    <xf numFmtId="14" fontId="0" fillId="0" borderId="0" xfId="0" applyNumberFormat="1" applyAlignment="1">
      <alignment horizontal="left"/>
    </xf>
    <xf numFmtId="20" fontId="0" fillId="0" borderId="0" xfId="0" applyNumberFormat="1" applyAlignment="1">
      <alignment horizontal="left"/>
    </xf>
    <xf numFmtId="14" fontId="4" fillId="2" borderId="0" xfId="1" applyNumberFormat="1" applyAlignment="1">
      <alignment horizontal="left"/>
    </xf>
    <xf numFmtId="20" fontId="4" fillId="2" borderId="0" xfId="1" applyNumberFormat="1" applyAlignment="1">
      <alignment horizontal="left"/>
    </xf>
    <xf numFmtId="164" fontId="4" fillId="2" borderId="0" xfId="1" applyNumberFormat="1" applyAlignment="1">
      <alignment horizontal="left"/>
    </xf>
    <xf numFmtId="0" fontId="8" fillId="0" borderId="0" xfId="0" applyFont="1" applyAlignment="1">
      <alignment horizontal="left"/>
    </xf>
    <xf numFmtId="0" fontId="9" fillId="2" borderId="0" xfId="1" applyFont="1" applyAlignment="1">
      <alignment horizontal="left"/>
    </xf>
    <xf numFmtId="14" fontId="8" fillId="0" borderId="0" xfId="0" applyNumberFormat="1" applyFont="1" applyAlignment="1">
      <alignment horizontal="left"/>
    </xf>
    <xf numFmtId="164" fontId="8" fillId="0" borderId="0" xfId="0" applyNumberFormat="1" applyFont="1" applyAlignment="1">
      <alignment horizontal="left"/>
    </xf>
    <xf numFmtId="0" fontId="8" fillId="0" borderId="0" xfId="0" applyFont="1"/>
    <xf numFmtId="2" fontId="0" fillId="0" borderId="0" xfId="0" applyNumberFormat="1" applyAlignment="1">
      <alignment horizontal="left"/>
    </xf>
    <xf numFmtId="0" fontId="11" fillId="0" borderId="0" xfId="4" applyFont="1"/>
    <xf numFmtId="0" fontId="10" fillId="0" borderId="0" xfId="4" applyFont="1"/>
    <xf numFmtId="0" fontId="3" fillId="0" borderId="0" xfId="4"/>
    <xf numFmtId="0" fontId="10" fillId="0" borderId="0" xfId="4" applyFont="1" applyAlignment="1">
      <alignment horizontal="left" vertical="center" readingOrder="1"/>
    </xf>
    <xf numFmtId="0" fontId="3" fillId="0" borderId="0" xfId="4" applyAlignment="1">
      <alignment wrapText="1"/>
    </xf>
    <xf numFmtId="0" fontId="7" fillId="0" borderId="0" xfId="0" applyFont="1" applyAlignment="1">
      <alignment horizontal="left" wrapText="1"/>
    </xf>
    <xf numFmtId="0" fontId="0" fillId="0" borderId="0" xfId="0" applyAlignment="1">
      <alignment wrapText="1"/>
    </xf>
    <xf numFmtId="0" fontId="2" fillId="0" borderId="0" xfId="4" applyFont="1"/>
    <xf numFmtId="0" fontId="4" fillId="2" borderId="0" xfId="1" applyAlignment="1">
      <alignment wrapText="1"/>
    </xf>
    <xf numFmtId="0" fontId="12" fillId="0" borderId="0" xfId="4" applyFont="1" applyAlignment="1">
      <alignment horizontal="center" vertical="center" wrapText="1"/>
    </xf>
    <xf numFmtId="0" fontId="4" fillId="2" borderId="0" xfId="1" applyAlignment="1">
      <alignment horizontal="center"/>
    </xf>
    <xf numFmtId="0" fontId="1" fillId="0" borderId="0" xfId="4" applyFont="1" applyAlignment="1">
      <alignment wrapText="1"/>
    </xf>
  </cellXfs>
  <cellStyles count="5">
    <cellStyle name="Bad" xfId="1" builtinId="27"/>
    <cellStyle name="Good" xfId="2" builtinId="26"/>
    <cellStyle name="Neutral" xfId="3" builtinId="28"/>
    <cellStyle name="Normal" xfId="0" builtinId="0"/>
    <cellStyle name="Normal 2" xfId="4" xr:uid="{94F4051F-C175-42D7-A82B-E6C3CDEE05B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C03BC-B325-4700-BF83-8FE7D43C91A6}">
  <sheetPr filterMode="1"/>
  <dimension ref="A1:L698"/>
  <sheetViews>
    <sheetView workbookViewId="0">
      <pane ySplit="1" topLeftCell="A18" activePane="bottomLeft" state="frozen"/>
      <selection pane="bottomLeft" activeCell="L69" sqref="L69:L76"/>
    </sheetView>
  </sheetViews>
  <sheetFormatPr defaultRowHeight="14.5" x14ac:dyDescent="0.35"/>
  <cols>
    <col min="1" max="1" width="17.36328125" style="1" bestFit="1" customWidth="1"/>
    <col min="2" max="2" width="5.36328125" style="1" bestFit="1" customWidth="1"/>
    <col min="3" max="3" width="4.90625" style="1" bestFit="1" customWidth="1"/>
    <col min="4" max="4" width="22.08984375" style="1" bestFit="1" customWidth="1"/>
    <col min="5" max="5" width="12.6328125" style="1" bestFit="1" customWidth="1"/>
    <col min="6" max="6" width="10.08984375" style="1" bestFit="1" customWidth="1"/>
  </cols>
  <sheetData>
    <row r="1" spans="1:12" x14ac:dyDescent="0.35">
      <c r="A1" s="1" t="s">
        <v>7</v>
      </c>
      <c r="B1" s="1" t="s">
        <v>8</v>
      </c>
      <c r="C1" s="1" t="s">
        <v>9</v>
      </c>
      <c r="D1" s="1" t="s">
        <v>10</v>
      </c>
      <c r="E1" s="1" t="s">
        <v>11</v>
      </c>
      <c r="F1" s="1" t="s">
        <v>20</v>
      </c>
    </row>
    <row r="2" spans="1:12" hidden="1" x14ac:dyDescent="0.35">
      <c r="A2" s="1">
        <v>1</v>
      </c>
      <c r="B2" s="1">
        <v>0</v>
      </c>
      <c r="C2" s="1">
        <v>2</v>
      </c>
      <c r="D2" s="1" t="s">
        <v>12</v>
      </c>
      <c r="E2" s="1" t="s">
        <v>13</v>
      </c>
      <c r="F2" s="1">
        <v>0</v>
      </c>
      <c r="G2">
        <f>SUM(I2:I82)</f>
        <v>539</v>
      </c>
      <c r="I2">
        <f>C2-B2</f>
        <v>2</v>
      </c>
      <c r="L2">
        <v>539</v>
      </c>
    </row>
    <row r="3" spans="1:12" hidden="1" x14ac:dyDescent="0.35">
      <c r="A3" s="1">
        <v>1</v>
      </c>
      <c r="B3" s="1">
        <v>2</v>
      </c>
      <c r="C3" s="1">
        <v>29</v>
      </c>
      <c r="D3" s="1" t="s">
        <v>12</v>
      </c>
      <c r="E3" s="1" t="s">
        <v>14</v>
      </c>
      <c r="F3" s="1">
        <v>0</v>
      </c>
      <c r="L3">
        <v>216</v>
      </c>
    </row>
    <row r="4" spans="1:12" hidden="1" x14ac:dyDescent="0.35">
      <c r="A4" s="1">
        <v>1</v>
      </c>
      <c r="B4" s="1">
        <v>29</v>
      </c>
      <c r="C4" s="1">
        <v>38</v>
      </c>
      <c r="D4" s="1" t="s">
        <v>15</v>
      </c>
      <c r="E4" s="1" t="s">
        <v>16</v>
      </c>
      <c r="F4" s="1">
        <v>0</v>
      </c>
      <c r="L4">
        <v>189</v>
      </c>
    </row>
    <row r="5" spans="1:12" hidden="1" x14ac:dyDescent="0.35">
      <c r="A5" s="1">
        <v>1</v>
      </c>
      <c r="B5" s="1">
        <v>38</v>
      </c>
      <c r="C5" s="1">
        <v>63</v>
      </c>
      <c r="D5" s="1" t="s">
        <v>17</v>
      </c>
      <c r="E5" s="1" t="s">
        <v>14</v>
      </c>
      <c r="F5" s="1">
        <v>0</v>
      </c>
      <c r="L5">
        <v>617.00000000000023</v>
      </c>
    </row>
    <row r="6" spans="1:12" hidden="1" x14ac:dyDescent="0.35">
      <c r="A6" s="1">
        <v>1</v>
      </c>
      <c r="B6" s="1">
        <v>63</v>
      </c>
      <c r="C6" s="1">
        <v>72</v>
      </c>
      <c r="D6" s="1" t="s">
        <v>12</v>
      </c>
      <c r="E6" s="1" t="s">
        <v>14</v>
      </c>
      <c r="F6" s="1">
        <v>0</v>
      </c>
      <c r="L6">
        <v>500.99999999999977</v>
      </c>
    </row>
    <row r="7" spans="1:12" hidden="1" x14ac:dyDescent="0.35">
      <c r="A7" s="1">
        <v>1</v>
      </c>
      <c r="B7" s="1">
        <v>72</v>
      </c>
      <c r="C7" s="1">
        <v>74</v>
      </c>
      <c r="D7" s="1" t="s">
        <v>12</v>
      </c>
      <c r="E7" s="1" t="s">
        <v>18</v>
      </c>
      <c r="F7" s="1">
        <v>0</v>
      </c>
      <c r="I7">
        <f>C7-B7</f>
        <v>2</v>
      </c>
      <c r="L7">
        <v>915.00000000000011</v>
      </c>
    </row>
    <row r="8" spans="1:12" hidden="1" x14ac:dyDescent="0.35">
      <c r="A8" s="1">
        <v>1</v>
      </c>
      <c r="B8" s="1">
        <v>74</v>
      </c>
      <c r="C8" s="1">
        <v>132</v>
      </c>
      <c r="D8" s="1" t="s">
        <v>15</v>
      </c>
      <c r="E8" s="1" t="s">
        <v>16</v>
      </c>
      <c r="F8" s="1">
        <v>0</v>
      </c>
      <c r="L8">
        <v>210</v>
      </c>
    </row>
    <row r="9" spans="1:12" hidden="1" x14ac:dyDescent="0.35">
      <c r="A9" s="1">
        <v>1</v>
      </c>
      <c r="B9" s="1">
        <v>132</v>
      </c>
      <c r="C9" s="1">
        <v>182</v>
      </c>
      <c r="D9" s="4" t="s">
        <v>12</v>
      </c>
      <c r="E9" s="4" t="s">
        <v>19</v>
      </c>
      <c r="F9" s="1">
        <v>1</v>
      </c>
      <c r="I9">
        <f>C9-B9</f>
        <v>50</v>
      </c>
      <c r="L9">
        <v>717.00000000000045</v>
      </c>
    </row>
    <row r="10" spans="1:12" hidden="1" x14ac:dyDescent="0.35">
      <c r="A10" s="1">
        <v>1</v>
      </c>
      <c r="B10" s="1">
        <v>182</v>
      </c>
      <c r="C10" s="1">
        <v>190</v>
      </c>
      <c r="D10" s="1" t="s">
        <v>15</v>
      </c>
      <c r="E10" s="1" t="s">
        <v>16</v>
      </c>
      <c r="F10" s="1">
        <v>1</v>
      </c>
    </row>
    <row r="11" spans="1:12" hidden="1" x14ac:dyDescent="0.35">
      <c r="A11" s="1">
        <v>1</v>
      </c>
      <c r="B11" s="1">
        <v>190</v>
      </c>
      <c r="C11" s="1">
        <v>207</v>
      </c>
      <c r="D11" s="1" t="s">
        <v>12</v>
      </c>
      <c r="E11" s="1" t="s">
        <v>19</v>
      </c>
      <c r="F11" s="1">
        <v>1</v>
      </c>
      <c r="I11">
        <f t="shared" ref="I11:I12" si="0">C11-B11</f>
        <v>17</v>
      </c>
    </row>
    <row r="12" spans="1:12" hidden="1" x14ac:dyDescent="0.35">
      <c r="A12" s="1">
        <v>1</v>
      </c>
      <c r="B12" s="3">
        <v>207</v>
      </c>
      <c r="C12" s="3">
        <v>235</v>
      </c>
      <c r="D12" s="3" t="s">
        <v>12</v>
      </c>
      <c r="E12" s="3" t="s">
        <v>21</v>
      </c>
      <c r="F12" s="3">
        <v>1</v>
      </c>
      <c r="I12">
        <f t="shared" si="0"/>
        <v>28</v>
      </c>
    </row>
    <row r="13" spans="1:12" hidden="1" x14ac:dyDescent="0.35">
      <c r="A13" s="1">
        <v>1</v>
      </c>
      <c r="B13" s="1">
        <v>235</v>
      </c>
      <c r="C13" s="1">
        <v>248</v>
      </c>
      <c r="D13" s="1" t="s">
        <v>12</v>
      </c>
      <c r="E13" s="1" t="s">
        <v>14</v>
      </c>
      <c r="F13" s="1">
        <v>1</v>
      </c>
    </row>
    <row r="14" spans="1:12" hidden="1" x14ac:dyDescent="0.35">
      <c r="A14" s="1">
        <v>1</v>
      </c>
      <c r="B14" s="1">
        <v>248</v>
      </c>
      <c r="C14" s="1">
        <v>349</v>
      </c>
      <c r="D14" s="1" t="s">
        <v>15</v>
      </c>
      <c r="E14" s="1" t="s">
        <v>16</v>
      </c>
      <c r="F14" s="1">
        <v>2</v>
      </c>
    </row>
    <row r="15" spans="1:12" hidden="1" x14ac:dyDescent="0.35">
      <c r="A15" s="1">
        <v>1</v>
      </c>
      <c r="B15" s="1">
        <v>349</v>
      </c>
      <c r="C15" s="1">
        <v>439</v>
      </c>
      <c r="D15" s="4" t="s">
        <v>12</v>
      </c>
      <c r="E15" s="4" t="s">
        <v>19</v>
      </c>
      <c r="F15" s="1">
        <v>2</v>
      </c>
      <c r="I15">
        <f>C15-B15</f>
        <v>90</v>
      </c>
    </row>
    <row r="16" spans="1:12" hidden="1" x14ac:dyDescent="0.35">
      <c r="A16" s="1">
        <v>1</v>
      </c>
      <c r="B16" s="1">
        <v>439</v>
      </c>
      <c r="C16" s="1">
        <v>455</v>
      </c>
      <c r="D16" s="1" t="s">
        <v>17</v>
      </c>
      <c r="E16" s="1" t="s">
        <v>14</v>
      </c>
      <c r="F16" s="1">
        <v>2</v>
      </c>
    </row>
    <row r="17" spans="1:6" hidden="1" x14ac:dyDescent="0.35">
      <c r="A17" s="1">
        <v>1</v>
      </c>
      <c r="B17" s="1">
        <v>455</v>
      </c>
      <c r="C17" s="1">
        <v>472</v>
      </c>
      <c r="D17" s="1" t="s">
        <v>15</v>
      </c>
      <c r="E17" s="1" t="s">
        <v>16</v>
      </c>
      <c r="F17" s="1">
        <v>2</v>
      </c>
    </row>
    <row r="18" spans="1:6" x14ac:dyDescent="0.35">
      <c r="A18" s="1">
        <v>1</v>
      </c>
      <c r="B18" s="1">
        <v>472</v>
      </c>
      <c r="C18" s="1">
        <v>486</v>
      </c>
      <c r="D18" s="1" t="s">
        <v>22</v>
      </c>
      <c r="E18" s="1" t="s">
        <v>19</v>
      </c>
      <c r="F18" s="1">
        <v>2</v>
      </c>
    </row>
    <row r="19" spans="1:6" hidden="1" x14ac:dyDescent="0.35">
      <c r="A19" s="1">
        <v>1</v>
      </c>
      <c r="B19" s="1">
        <v>486</v>
      </c>
      <c r="C19" s="1">
        <v>516</v>
      </c>
      <c r="D19" s="1" t="s">
        <v>22</v>
      </c>
      <c r="E19" s="1" t="s">
        <v>14</v>
      </c>
      <c r="F19" s="1">
        <v>2</v>
      </c>
    </row>
    <row r="20" spans="1:6" hidden="1" x14ac:dyDescent="0.35">
      <c r="A20" s="1">
        <v>1</v>
      </c>
      <c r="B20" s="1">
        <v>516</v>
      </c>
      <c r="C20" s="1">
        <v>524</v>
      </c>
      <c r="D20" s="1" t="s">
        <v>15</v>
      </c>
      <c r="E20" s="1" t="s">
        <v>16</v>
      </c>
      <c r="F20" s="1">
        <v>2</v>
      </c>
    </row>
    <row r="21" spans="1:6" hidden="1" x14ac:dyDescent="0.35">
      <c r="A21" s="1">
        <v>1</v>
      </c>
      <c r="B21" s="1">
        <v>524</v>
      </c>
      <c r="C21" s="1">
        <v>569</v>
      </c>
      <c r="D21" s="1" t="s">
        <v>22</v>
      </c>
      <c r="E21" s="1" t="s">
        <v>14</v>
      </c>
      <c r="F21" s="1">
        <v>2</v>
      </c>
    </row>
    <row r="22" spans="1:6" hidden="1" x14ac:dyDescent="0.35">
      <c r="A22" s="1">
        <v>1</v>
      </c>
      <c r="B22" s="1">
        <v>569</v>
      </c>
      <c r="C22" s="1">
        <v>604</v>
      </c>
      <c r="D22" s="1" t="s">
        <v>15</v>
      </c>
      <c r="E22" s="1" t="s">
        <v>16</v>
      </c>
      <c r="F22" s="1">
        <v>2</v>
      </c>
    </row>
    <row r="23" spans="1:6" hidden="1" x14ac:dyDescent="0.35">
      <c r="A23" s="1">
        <v>1</v>
      </c>
      <c r="B23" s="1">
        <v>604</v>
      </c>
      <c r="C23" s="1">
        <v>616</v>
      </c>
      <c r="D23" s="1" t="s">
        <v>22</v>
      </c>
      <c r="E23" s="1" t="s">
        <v>14</v>
      </c>
      <c r="F23" s="1">
        <v>2</v>
      </c>
    </row>
    <row r="24" spans="1:6" hidden="1" x14ac:dyDescent="0.35">
      <c r="A24" s="1">
        <v>1</v>
      </c>
      <c r="B24" s="1">
        <v>616</v>
      </c>
      <c r="C24" s="1">
        <v>632</v>
      </c>
      <c r="D24" s="1" t="s">
        <v>15</v>
      </c>
      <c r="E24" s="1" t="s">
        <v>16</v>
      </c>
      <c r="F24" s="1">
        <v>2</v>
      </c>
    </row>
    <row r="25" spans="1:6" hidden="1" x14ac:dyDescent="0.35">
      <c r="A25" s="1">
        <v>1</v>
      </c>
      <c r="B25" s="1">
        <v>632</v>
      </c>
      <c r="C25" s="1">
        <v>670</v>
      </c>
      <c r="D25" s="1" t="s">
        <v>22</v>
      </c>
      <c r="E25" s="1" t="s">
        <v>14</v>
      </c>
      <c r="F25" s="1">
        <v>2</v>
      </c>
    </row>
    <row r="26" spans="1:6" hidden="1" x14ac:dyDescent="0.35">
      <c r="A26" s="1">
        <v>1</v>
      </c>
      <c r="B26" s="1">
        <v>670</v>
      </c>
      <c r="C26" s="1">
        <v>687</v>
      </c>
      <c r="D26" s="1" t="s">
        <v>15</v>
      </c>
      <c r="E26" s="1" t="s">
        <v>16</v>
      </c>
      <c r="F26" s="1">
        <v>2</v>
      </c>
    </row>
    <row r="27" spans="1:6" hidden="1" x14ac:dyDescent="0.35">
      <c r="A27" s="1">
        <v>1</v>
      </c>
      <c r="B27" s="1">
        <v>687</v>
      </c>
      <c r="C27" s="1">
        <v>734</v>
      </c>
      <c r="D27" s="1" t="s">
        <v>22</v>
      </c>
      <c r="E27" s="1" t="s">
        <v>14</v>
      </c>
      <c r="F27" s="1">
        <v>2</v>
      </c>
    </row>
    <row r="28" spans="1:6" hidden="1" x14ac:dyDescent="0.35">
      <c r="A28" s="1">
        <v>1</v>
      </c>
      <c r="B28" s="1">
        <v>734</v>
      </c>
      <c r="C28" s="1">
        <v>748</v>
      </c>
      <c r="D28" s="1" t="s">
        <v>15</v>
      </c>
      <c r="E28" s="1" t="s">
        <v>16</v>
      </c>
      <c r="F28" s="1">
        <v>2</v>
      </c>
    </row>
    <row r="29" spans="1:6" hidden="1" x14ac:dyDescent="0.35">
      <c r="A29" s="1">
        <v>1</v>
      </c>
      <c r="B29" s="1">
        <v>748</v>
      </c>
      <c r="C29" s="1">
        <v>765</v>
      </c>
      <c r="D29" s="1" t="s">
        <v>22</v>
      </c>
      <c r="E29" s="1" t="s">
        <v>14</v>
      </c>
      <c r="F29" s="1">
        <v>2</v>
      </c>
    </row>
    <row r="30" spans="1:6" hidden="1" x14ac:dyDescent="0.35">
      <c r="A30" s="1">
        <v>1</v>
      </c>
      <c r="B30" s="1">
        <v>765</v>
      </c>
      <c r="C30" s="1">
        <v>777</v>
      </c>
      <c r="D30" s="1" t="s">
        <v>15</v>
      </c>
      <c r="E30" s="1" t="s">
        <v>16</v>
      </c>
      <c r="F30" s="1">
        <v>2</v>
      </c>
    </row>
    <row r="31" spans="1:6" hidden="1" x14ac:dyDescent="0.35">
      <c r="A31" s="1">
        <v>1</v>
      </c>
      <c r="B31" s="1">
        <v>777</v>
      </c>
      <c r="C31" s="1">
        <v>827</v>
      </c>
      <c r="D31" s="1" t="s">
        <v>22</v>
      </c>
      <c r="E31" s="1" t="s">
        <v>14</v>
      </c>
      <c r="F31" s="1">
        <v>2</v>
      </c>
    </row>
    <row r="32" spans="1:6" hidden="1" x14ac:dyDescent="0.35">
      <c r="A32" s="1">
        <v>1</v>
      </c>
      <c r="B32" s="1">
        <v>827</v>
      </c>
      <c r="C32" s="1">
        <v>837</v>
      </c>
      <c r="D32" s="1" t="s">
        <v>15</v>
      </c>
      <c r="E32" s="1" t="s">
        <v>16</v>
      </c>
      <c r="F32" s="1">
        <v>2</v>
      </c>
    </row>
    <row r="33" spans="1:12" hidden="1" x14ac:dyDescent="0.35">
      <c r="A33" s="1">
        <v>1</v>
      </c>
      <c r="B33" s="1">
        <v>837</v>
      </c>
      <c r="C33" s="1">
        <v>881</v>
      </c>
      <c r="D33" s="1" t="s">
        <v>22</v>
      </c>
      <c r="E33" s="1" t="s">
        <v>14</v>
      </c>
      <c r="F33" s="1">
        <v>2</v>
      </c>
    </row>
    <row r="34" spans="1:12" hidden="1" x14ac:dyDescent="0.35">
      <c r="A34" s="1">
        <v>1</v>
      </c>
      <c r="B34" s="1">
        <v>881</v>
      </c>
      <c r="C34" s="1">
        <v>891</v>
      </c>
      <c r="D34" s="1" t="s">
        <v>15</v>
      </c>
      <c r="E34" s="1" t="s">
        <v>16</v>
      </c>
      <c r="F34" s="1">
        <v>2</v>
      </c>
    </row>
    <row r="35" spans="1:12" hidden="1" x14ac:dyDescent="0.35">
      <c r="A35" s="1">
        <v>1</v>
      </c>
      <c r="B35" s="1">
        <v>891</v>
      </c>
      <c r="C35" s="1">
        <v>941</v>
      </c>
      <c r="D35" s="1" t="s">
        <v>22</v>
      </c>
      <c r="E35" s="1" t="s">
        <v>14</v>
      </c>
      <c r="F35" s="1">
        <v>2</v>
      </c>
    </row>
    <row r="36" spans="1:12" hidden="1" x14ac:dyDescent="0.35">
      <c r="A36" s="1">
        <v>1</v>
      </c>
      <c r="B36" s="1">
        <v>941</v>
      </c>
      <c r="C36" s="1">
        <v>951</v>
      </c>
      <c r="D36" s="1" t="s">
        <v>17</v>
      </c>
      <c r="E36" s="1" t="s">
        <v>14</v>
      </c>
      <c r="F36" s="1">
        <v>2</v>
      </c>
    </row>
    <row r="37" spans="1:12" hidden="1" x14ac:dyDescent="0.35">
      <c r="A37" s="1">
        <v>1</v>
      </c>
      <c r="B37" s="1">
        <v>951</v>
      </c>
      <c r="C37" s="1">
        <v>963</v>
      </c>
      <c r="D37" s="1" t="s">
        <v>15</v>
      </c>
      <c r="E37" s="1" t="s">
        <v>16</v>
      </c>
      <c r="F37" s="1">
        <v>2</v>
      </c>
    </row>
    <row r="38" spans="1:12" hidden="1" x14ac:dyDescent="0.35">
      <c r="A38" s="1">
        <v>1</v>
      </c>
      <c r="B38" s="1">
        <v>963</v>
      </c>
      <c r="C38" s="1">
        <v>975</v>
      </c>
      <c r="D38" s="1" t="s">
        <v>17</v>
      </c>
      <c r="E38" s="1" t="s">
        <v>23</v>
      </c>
      <c r="F38" s="1">
        <v>2</v>
      </c>
    </row>
    <row r="39" spans="1:12" hidden="1" x14ac:dyDescent="0.35">
      <c r="A39" s="1">
        <v>1</v>
      </c>
      <c r="B39" s="1">
        <v>975</v>
      </c>
      <c r="C39" s="1">
        <v>1000</v>
      </c>
      <c r="D39" s="4" t="s">
        <v>12</v>
      </c>
      <c r="E39" s="4" t="s">
        <v>19</v>
      </c>
      <c r="F39" s="1">
        <v>2</v>
      </c>
      <c r="I39">
        <f t="shared" ref="I39:I41" si="1">C39-B39</f>
        <v>25</v>
      </c>
      <c r="L39">
        <v>539</v>
      </c>
    </row>
    <row r="40" spans="1:12" hidden="1" x14ac:dyDescent="0.35">
      <c r="A40" s="1">
        <v>1</v>
      </c>
      <c r="B40" s="1">
        <v>1000</v>
      </c>
      <c r="C40" s="1">
        <v>1012</v>
      </c>
      <c r="D40" s="1" t="s">
        <v>12</v>
      </c>
      <c r="E40" s="1" t="s">
        <v>24</v>
      </c>
      <c r="F40" s="1">
        <v>2</v>
      </c>
      <c r="I40">
        <f t="shared" si="1"/>
        <v>12</v>
      </c>
      <c r="L40">
        <v>216</v>
      </c>
    </row>
    <row r="41" spans="1:12" hidden="1" x14ac:dyDescent="0.35">
      <c r="A41" s="1">
        <v>1</v>
      </c>
      <c r="B41" s="1">
        <v>1012</v>
      </c>
      <c r="C41" s="1">
        <v>1087</v>
      </c>
      <c r="D41" s="1" t="s">
        <v>12</v>
      </c>
      <c r="E41" s="1" t="s">
        <v>25</v>
      </c>
      <c r="F41" s="1">
        <v>2</v>
      </c>
      <c r="I41">
        <f t="shared" si="1"/>
        <v>75</v>
      </c>
      <c r="L41">
        <v>189</v>
      </c>
    </row>
    <row r="42" spans="1:12" hidden="1" x14ac:dyDescent="0.35">
      <c r="A42" s="1">
        <v>1</v>
      </c>
      <c r="B42" s="1">
        <v>1087</v>
      </c>
      <c r="C42" s="1">
        <v>1132</v>
      </c>
      <c r="D42" s="1" t="s">
        <v>15</v>
      </c>
      <c r="E42" s="1" t="s">
        <v>16</v>
      </c>
      <c r="F42" s="1">
        <v>2</v>
      </c>
      <c r="L42">
        <v>617.00000000000023</v>
      </c>
    </row>
    <row r="43" spans="1:12" hidden="1" x14ac:dyDescent="0.35">
      <c r="A43" s="1">
        <v>1</v>
      </c>
      <c r="B43" s="1">
        <v>1132</v>
      </c>
      <c r="C43" s="1">
        <v>1216</v>
      </c>
      <c r="D43" s="1" t="s">
        <v>17</v>
      </c>
      <c r="E43" s="1" t="s">
        <v>14</v>
      </c>
      <c r="F43" s="1">
        <v>2</v>
      </c>
      <c r="L43">
        <v>500.99999999999977</v>
      </c>
    </row>
    <row r="44" spans="1:12" hidden="1" x14ac:dyDescent="0.35">
      <c r="A44" s="1">
        <v>1</v>
      </c>
      <c r="B44" s="1">
        <v>1216</v>
      </c>
      <c r="C44" s="1">
        <v>1239</v>
      </c>
      <c r="D44" s="1" t="s">
        <v>26</v>
      </c>
      <c r="E44" s="1" t="s">
        <v>18</v>
      </c>
      <c r="F44" s="1">
        <v>2</v>
      </c>
      <c r="L44">
        <v>915.00000000000011</v>
      </c>
    </row>
    <row r="45" spans="1:12" hidden="1" x14ac:dyDescent="0.35">
      <c r="A45" s="1">
        <v>1</v>
      </c>
      <c r="B45" s="1">
        <v>1239</v>
      </c>
      <c r="C45" s="1">
        <v>1359</v>
      </c>
      <c r="D45" s="1" t="s">
        <v>15</v>
      </c>
      <c r="E45" s="1" t="s">
        <v>18</v>
      </c>
      <c r="F45" s="1">
        <v>2</v>
      </c>
      <c r="L45">
        <v>210</v>
      </c>
    </row>
    <row r="46" spans="1:12" hidden="1" x14ac:dyDescent="0.35">
      <c r="A46" s="1">
        <v>1</v>
      </c>
      <c r="B46" s="1">
        <v>1359</v>
      </c>
      <c r="C46" s="1">
        <v>1691</v>
      </c>
      <c r="D46" s="1" t="s">
        <v>26</v>
      </c>
      <c r="E46" s="1" t="s">
        <v>14</v>
      </c>
      <c r="F46" s="1">
        <v>2</v>
      </c>
      <c r="L46">
        <v>717.00000000000045</v>
      </c>
    </row>
    <row r="47" spans="1:12" hidden="1" x14ac:dyDescent="0.35">
      <c r="A47" s="1">
        <v>1</v>
      </c>
      <c r="B47" s="1">
        <v>1691</v>
      </c>
      <c r="C47" s="1">
        <v>1728</v>
      </c>
      <c r="D47" s="1" t="s">
        <v>15</v>
      </c>
      <c r="E47" s="1" t="s">
        <v>16</v>
      </c>
      <c r="F47" s="1">
        <v>2</v>
      </c>
    </row>
    <row r="48" spans="1:12" hidden="1" x14ac:dyDescent="0.35">
      <c r="A48" s="1">
        <v>1</v>
      </c>
      <c r="B48" s="1">
        <v>1728</v>
      </c>
      <c r="C48" s="1">
        <v>1832</v>
      </c>
      <c r="D48" s="1" t="s">
        <v>26</v>
      </c>
      <c r="E48" s="1" t="s">
        <v>14</v>
      </c>
      <c r="F48" s="1">
        <v>2</v>
      </c>
    </row>
    <row r="49" spans="1:9" hidden="1" x14ac:dyDescent="0.35">
      <c r="A49" s="1">
        <v>1</v>
      </c>
      <c r="B49" s="1">
        <v>1832</v>
      </c>
      <c r="C49" s="1">
        <v>1850</v>
      </c>
      <c r="D49" s="1" t="s">
        <v>15</v>
      </c>
      <c r="E49" s="1" t="s">
        <v>16</v>
      </c>
      <c r="F49" s="1">
        <v>2</v>
      </c>
    </row>
    <row r="50" spans="1:9" hidden="1" x14ac:dyDescent="0.35">
      <c r="A50" s="1">
        <v>1</v>
      </c>
      <c r="B50" s="1">
        <v>1850</v>
      </c>
      <c r="C50" s="1">
        <v>1866</v>
      </c>
      <c r="D50" s="1" t="s">
        <v>17</v>
      </c>
      <c r="E50" s="1" t="s">
        <v>23</v>
      </c>
      <c r="F50" s="1">
        <v>2</v>
      </c>
    </row>
    <row r="51" spans="1:9" hidden="1" x14ac:dyDescent="0.35">
      <c r="A51" s="1">
        <v>1</v>
      </c>
      <c r="B51" s="1">
        <v>1866</v>
      </c>
      <c r="C51" s="1">
        <v>1879</v>
      </c>
      <c r="D51" s="1" t="s">
        <v>15</v>
      </c>
      <c r="E51" s="1" t="s">
        <v>16</v>
      </c>
      <c r="F51" s="1">
        <v>2</v>
      </c>
    </row>
    <row r="52" spans="1:9" hidden="1" x14ac:dyDescent="0.35">
      <c r="A52" s="1">
        <v>1</v>
      </c>
      <c r="B52" s="1">
        <v>1879</v>
      </c>
      <c r="C52" s="1">
        <v>1937</v>
      </c>
      <c r="D52" s="1" t="s">
        <v>17</v>
      </c>
      <c r="E52" s="1" t="s">
        <v>14</v>
      </c>
      <c r="F52" s="1">
        <v>2</v>
      </c>
    </row>
    <row r="53" spans="1:9" hidden="1" x14ac:dyDescent="0.35">
      <c r="A53" s="1">
        <v>1</v>
      </c>
      <c r="B53" s="1">
        <v>1937</v>
      </c>
      <c r="C53" s="1">
        <v>1955</v>
      </c>
      <c r="D53" s="1" t="s">
        <v>15</v>
      </c>
      <c r="E53" s="1" t="s">
        <v>16</v>
      </c>
      <c r="F53" s="1">
        <v>2</v>
      </c>
    </row>
    <row r="54" spans="1:9" hidden="1" x14ac:dyDescent="0.35">
      <c r="A54" s="1">
        <v>1</v>
      </c>
      <c r="B54" s="1">
        <v>1955</v>
      </c>
      <c r="C54" s="1">
        <v>1991</v>
      </c>
      <c r="D54" s="1" t="s">
        <v>17</v>
      </c>
      <c r="E54" s="1" t="s">
        <v>14</v>
      </c>
      <c r="F54" s="1">
        <v>2</v>
      </c>
    </row>
    <row r="55" spans="1:9" hidden="1" x14ac:dyDescent="0.35">
      <c r="A55" s="1">
        <v>1</v>
      </c>
      <c r="B55" s="1">
        <v>1991</v>
      </c>
      <c r="C55" s="1">
        <v>1999</v>
      </c>
      <c r="D55" s="1" t="s">
        <v>22</v>
      </c>
      <c r="E55" s="1" t="s">
        <v>14</v>
      </c>
      <c r="F55" s="1">
        <v>2</v>
      </c>
    </row>
    <row r="56" spans="1:9" hidden="1" x14ac:dyDescent="0.35">
      <c r="A56" s="1">
        <v>1</v>
      </c>
      <c r="B56" s="1">
        <v>1999</v>
      </c>
      <c r="C56" s="1">
        <v>2009</v>
      </c>
      <c r="D56" s="1" t="s">
        <v>17</v>
      </c>
      <c r="E56" s="1" t="s">
        <v>14</v>
      </c>
      <c r="F56" s="1">
        <v>2</v>
      </c>
    </row>
    <row r="57" spans="1:9" hidden="1" x14ac:dyDescent="0.35">
      <c r="A57" s="1">
        <v>1</v>
      </c>
      <c r="B57" s="1">
        <v>2009</v>
      </c>
      <c r="C57" s="1">
        <v>2085</v>
      </c>
      <c r="D57" s="1" t="s">
        <v>15</v>
      </c>
      <c r="E57" s="1" t="s">
        <v>16</v>
      </c>
      <c r="F57" s="1">
        <v>2</v>
      </c>
    </row>
    <row r="58" spans="1:9" hidden="1" x14ac:dyDescent="0.35">
      <c r="A58" s="1">
        <v>1</v>
      </c>
      <c r="B58" s="1">
        <v>2085</v>
      </c>
      <c r="C58" s="1">
        <v>2124</v>
      </c>
      <c r="D58" s="1" t="s">
        <v>17</v>
      </c>
      <c r="E58" s="1" t="s">
        <v>14</v>
      </c>
      <c r="F58" s="1">
        <v>2</v>
      </c>
    </row>
    <row r="59" spans="1:9" hidden="1" x14ac:dyDescent="0.35">
      <c r="A59" s="1">
        <v>1</v>
      </c>
      <c r="B59" s="1">
        <v>2124</v>
      </c>
      <c r="C59" s="1">
        <v>2139</v>
      </c>
      <c r="D59" s="1" t="s">
        <v>15</v>
      </c>
      <c r="E59" s="1" t="s">
        <v>16</v>
      </c>
      <c r="F59" s="1">
        <v>2</v>
      </c>
    </row>
    <row r="60" spans="1:9" hidden="1" x14ac:dyDescent="0.35">
      <c r="A60" s="1">
        <v>1</v>
      </c>
      <c r="B60" s="1">
        <v>2139</v>
      </c>
      <c r="C60" s="1">
        <v>2140</v>
      </c>
      <c r="D60" s="1" t="s">
        <v>22</v>
      </c>
      <c r="E60" s="1" t="s">
        <v>14</v>
      </c>
      <c r="F60" s="1">
        <v>2</v>
      </c>
    </row>
    <row r="61" spans="1:9" hidden="1" x14ac:dyDescent="0.35">
      <c r="A61" s="1">
        <v>1</v>
      </c>
      <c r="B61" s="1">
        <v>2140</v>
      </c>
      <c r="C61" s="1">
        <v>2156</v>
      </c>
      <c r="D61" s="4" t="s">
        <v>12</v>
      </c>
      <c r="E61" s="4" t="s">
        <v>19</v>
      </c>
      <c r="F61" s="1">
        <v>2</v>
      </c>
      <c r="I61">
        <f>C61-B61</f>
        <v>16</v>
      </c>
    </row>
    <row r="62" spans="1:9" hidden="1" x14ac:dyDescent="0.35">
      <c r="A62" s="1">
        <v>1</v>
      </c>
      <c r="B62" s="1">
        <v>2156</v>
      </c>
      <c r="C62" s="1">
        <v>2204</v>
      </c>
      <c r="D62" s="1" t="s">
        <v>17</v>
      </c>
      <c r="E62" s="1" t="s">
        <v>14</v>
      </c>
      <c r="F62" s="1">
        <v>2</v>
      </c>
    </row>
    <row r="63" spans="1:9" hidden="1" x14ac:dyDescent="0.35">
      <c r="A63" s="1">
        <v>1</v>
      </c>
      <c r="B63" s="1">
        <v>2204</v>
      </c>
      <c r="C63" s="1">
        <v>2219</v>
      </c>
      <c r="D63" s="1" t="s">
        <v>15</v>
      </c>
      <c r="E63" s="1" t="s">
        <v>16</v>
      </c>
      <c r="F63" s="1">
        <v>2</v>
      </c>
    </row>
    <row r="64" spans="1:9" hidden="1" x14ac:dyDescent="0.35">
      <c r="A64" s="1">
        <v>1</v>
      </c>
      <c r="B64" s="1">
        <v>2219</v>
      </c>
      <c r="C64" s="1">
        <v>2283</v>
      </c>
      <c r="D64" s="4" t="s">
        <v>12</v>
      </c>
      <c r="E64" s="4" t="s">
        <v>19</v>
      </c>
      <c r="F64" s="1">
        <v>2</v>
      </c>
      <c r="I64">
        <f>C64-B64</f>
        <v>64</v>
      </c>
    </row>
    <row r="65" spans="1:12" hidden="1" x14ac:dyDescent="0.35">
      <c r="A65" s="1">
        <v>1</v>
      </c>
      <c r="B65" s="1">
        <v>2283</v>
      </c>
      <c r="C65" s="1">
        <v>2305</v>
      </c>
      <c r="D65" s="1" t="s">
        <v>17</v>
      </c>
      <c r="E65" s="1" t="s">
        <v>14</v>
      </c>
      <c r="F65" s="1">
        <v>2</v>
      </c>
    </row>
    <row r="66" spans="1:12" hidden="1" x14ac:dyDescent="0.35">
      <c r="A66" s="1">
        <v>1</v>
      </c>
      <c r="B66" s="1">
        <v>2305</v>
      </c>
      <c r="C66" s="1">
        <v>2341</v>
      </c>
      <c r="D66" s="1" t="s">
        <v>26</v>
      </c>
      <c r="E66" s="1" t="s">
        <v>18</v>
      </c>
      <c r="F66" s="1">
        <v>2</v>
      </c>
    </row>
    <row r="67" spans="1:12" hidden="1" x14ac:dyDescent="0.35">
      <c r="A67" s="1">
        <v>1</v>
      </c>
      <c r="B67" s="1">
        <v>2341</v>
      </c>
      <c r="C67" s="1">
        <v>2396</v>
      </c>
      <c r="D67" s="1" t="s">
        <v>15</v>
      </c>
      <c r="E67" s="1" t="s">
        <v>16</v>
      </c>
      <c r="F67" s="1">
        <v>2</v>
      </c>
    </row>
    <row r="68" spans="1:12" hidden="1" x14ac:dyDescent="0.35">
      <c r="A68" s="1">
        <v>1</v>
      </c>
      <c r="B68" s="1">
        <v>2396</v>
      </c>
      <c r="C68" s="1">
        <v>2424</v>
      </c>
      <c r="D68" s="1" t="s">
        <v>17</v>
      </c>
      <c r="E68" s="1" t="s">
        <v>14</v>
      </c>
      <c r="F68" s="1">
        <v>2</v>
      </c>
    </row>
    <row r="69" spans="1:12" hidden="1" x14ac:dyDescent="0.35">
      <c r="A69" s="1">
        <v>1</v>
      </c>
      <c r="B69" s="3">
        <v>2424</v>
      </c>
      <c r="C69" s="3">
        <v>2429</v>
      </c>
      <c r="D69" s="3" t="s">
        <v>12</v>
      </c>
      <c r="E69" s="3" t="s">
        <v>21</v>
      </c>
      <c r="F69" s="3">
        <v>2</v>
      </c>
      <c r="I69">
        <f>C69-B69</f>
        <v>5</v>
      </c>
      <c r="L69">
        <v>539</v>
      </c>
    </row>
    <row r="70" spans="1:12" hidden="1" x14ac:dyDescent="0.35">
      <c r="A70" s="1">
        <v>1</v>
      </c>
      <c r="B70" s="1">
        <v>2429</v>
      </c>
      <c r="C70" s="1">
        <v>2483</v>
      </c>
      <c r="D70" s="1" t="s">
        <v>12</v>
      </c>
      <c r="E70" s="1" t="s">
        <v>14</v>
      </c>
      <c r="F70" s="1">
        <v>2</v>
      </c>
      <c r="L70">
        <v>216</v>
      </c>
    </row>
    <row r="71" spans="1:12" hidden="1" x14ac:dyDescent="0.35">
      <c r="A71" s="1">
        <v>1</v>
      </c>
      <c r="B71" s="1">
        <v>2483</v>
      </c>
      <c r="C71" s="1">
        <v>2506</v>
      </c>
      <c r="D71" s="1" t="s">
        <v>15</v>
      </c>
      <c r="E71" s="1" t="s">
        <v>16</v>
      </c>
      <c r="F71" s="1">
        <v>2</v>
      </c>
      <c r="L71">
        <v>189</v>
      </c>
    </row>
    <row r="72" spans="1:12" hidden="1" x14ac:dyDescent="0.35">
      <c r="A72" s="1">
        <v>1</v>
      </c>
      <c r="B72" s="1">
        <v>2506</v>
      </c>
      <c r="C72" s="1">
        <v>2548</v>
      </c>
      <c r="D72" s="1" t="s">
        <v>12</v>
      </c>
      <c r="E72" s="1" t="s">
        <v>14</v>
      </c>
      <c r="F72" s="1">
        <v>2</v>
      </c>
      <c r="L72">
        <v>617.00000000000023</v>
      </c>
    </row>
    <row r="73" spans="1:12" hidden="1" x14ac:dyDescent="0.35">
      <c r="A73" s="1">
        <v>1</v>
      </c>
      <c r="B73" s="1">
        <v>2548</v>
      </c>
      <c r="C73" s="1">
        <v>2620</v>
      </c>
      <c r="D73" s="1" t="s">
        <v>15</v>
      </c>
      <c r="E73" s="1" t="s">
        <v>16</v>
      </c>
      <c r="F73" s="1">
        <v>3</v>
      </c>
      <c r="L73">
        <v>500.99999999999977</v>
      </c>
    </row>
    <row r="74" spans="1:12" hidden="1" x14ac:dyDescent="0.35">
      <c r="A74" s="1">
        <v>1</v>
      </c>
      <c r="B74" s="3">
        <v>2620</v>
      </c>
      <c r="C74" s="3">
        <v>2634</v>
      </c>
      <c r="D74" s="3" t="s">
        <v>12</v>
      </c>
      <c r="E74" s="3" t="s">
        <v>21</v>
      </c>
      <c r="F74" s="3">
        <v>3</v>
      </c>
      <c r="I74">
        <f>C74-B74</f>
        <v>14</v>
      </c>
      <c r="L74">
        <v>915.00000000000011</v>
      </c>
    </row>
    <row r="75" spans="1:12" hidden="1" x14ac:dyDescent="0.35">
      <c r="A75" s="1">
        <v>1</v>
      </c>
      <c r="B75" s="1">
        <v>2634</v>
      </c>
      <c r="C75" s="1">
        <v>2679</v>
      </c>
      <c r="D75" s="1" t="s">
        <v>12</v>
      </c>
      <c r="E75" s="1" t="s">
        <v>14</v>
      </c>
      <c r="F75" s="1">
        <v>3</v>
      </c>
      <c r="L75">
        <v>210</v>
      </c>
    </row>
    <row r="76" spans="1:12" hidden="1" x14ac:dyDescent="0.35">
      <c r="A76" s="1">
        <v>1</v>
      </c>
      <c r="B76" s="1">
        <v>2679</v>
      </c>
      <c r="C76" s="1">
        <v>2852</v>
      </c>
      <c r="D76" s="1" t="s">
        <v>15</v>
      </c>
      <c r="E76" s="1" t="s">
        <v>16</v>
      </c>
      <c r="F76" s="1">
        <v>4</v>
      </c>
      <c r="L76">
        <v>717.00000000000045</v>
      </c>
    </row>
    <row r="77" spans="1:12" hidden="1" x14ac:dyDescent="0.35">
      <c r="A77" s="1">
        <v>1</v>
      </c>
      <c r="B77" s="1">
        <v>2852</v>
      </c>
      <c r="C77" s="1">
        <v>2825</v>
      </c>
      <c r="D77" s="1" t="s">
        <v>17</v>
      </c>
      <c r="E77" s="1" t="s">
        <v>14</v>
      </c>
      <c r="F77" s="1">
        <v>4</v>
      </c>
    </row>
    <row r="78" spans="1:12" hidden="1" x14ac:dyDescent="0.35">
      <c r="A78" s="1">
        <v>1</v>
      </c>
      <c r="B78" s="1">
        <v>2825</v>
      </c>
      <c r="C78" s="1">
        <v>2888</v>
      </c>
      <c r="D78" s="1" t="s">
        <v>15</v>
      </c>
      <c r="E78" s="1" t="s">
        <v>16</v>
      </c>
      <c r="F78" s="1">
        <v>4</v>
      </c>
    </row>
    <row r="79" spans="1:12" hidden="1" x14ac:dyDescent="0.35">
      <c r="A79" s="1">
        <v>1</v>
      </c>
      <c r="B79" s="1">
        <v>2888</v>
      </c>
      <c r="C79" s="1">
        <v>2962</v>
      </c>
      <c r="D79" s="4" t="s">
        <v>12</v>
      </c>
      <c r="E79" s="4" t="s">
        <v>19</v>
      </c>
      <c r="F79" s="1">
        <v>4</v>
      </c>
      <c r="I79">
        <f>C79-B79</f>
        <v>74</v>
      </c>
    </row>
    <row r="80" spans="1:12" hidden="1" x14ac:dyDescent="0.35">
      <c r="A80" s="1">
        <v>1</v>
      </c>
      <c r="B80" s="1">
        <v>2962</v>
      </c>
      <c r="C80" s="1">
        <v>2986</v>
      </c>
      <c r="D80" s="1" t="s">
        <v>26</v>
      </c>
      <c r="E80" s="1" t="s">
        <v>14</v>
      </c>
      <c r="F80" s="1">
        <v>4</v>
      </c>
    </row>
    <row r="81" spans="1:9" hidden="1" x14ac:dyDescent="0.35">
      <c r="A81" s="1">
        <v>1</v>
      </c>
      <c r="B81" s="1">
        <v>2986</v>
      </c>
      <c r="C81" s="1">
        <v>3009</v>
      </c>
      <c r="D81" s="1" t="s">
        <v>15</v>
      </c>
      <c r="E81" s="1" t="s">
        <v>16</v>
      </c>
      <c r="F81" s="1">
        <v>4</v>
      </c>
    </row>
    <row r="82" spans="1:9" hidden="1" x14ac:dyDescent="0.35">
      <c r="A82" s="2">
        <v>1</v>
      </c>
      <c r="B82" s="2">
        <v>3009</v>
      </c>
      <c r="C82" s="2">
        <v>3074</v>
      </c>
      <c r="D82" s="5" t="s">
        <v>12</v>
      </c>
      <c r="E82" s="5" t="s">
        <v>19</v>
      </c>
      <c r="F82" s="2">
        <v>4</v>
      </c>
      <c r="I82">
        <f>C82-B82</f>
        <v>65</v>
      </c>
    </row>
    <row r="83" spans="1:9" hidden="1" x14ac:dyDescent="0.35">
      <c r="A83" s="1">
        <v>2</v>
      </c>
      <c r="B83" s="1">
        <v>0</v>
      </c>
      <c r="C83" s="1">
        <f>3*60+13</f>
        <v>193</v>
      </c>
      <c r="D83" s="1" t="s">
        <v>12</v>
      </c>
      <c r="E83" s="1" t="s">
        <v>14</v>
      </c>
      <c r="F83" s="1">
        <v>0</v>
      </c>
    </row>
    <row r="84" spans="1:9" hidden="1" x14ac:dyDescent="0.35">
      <c r="A84" s="1">
        <v>2</v>
      </c>
      <c r="B84" s="1">
        <f>C83</f>
        <v>193</v>
      </c>
      <c r="C84" s="1">
        <f>17*60+45</f>
        <v>1065</v>
      </c>
      <c r="D84" s="1" t="s">
        <v>15</v>
      </c>
      <c r="E84" s="1" t="s">
        <v>16</v>
      </c>
      <c r="F84" s="1">
        <v>1</v>
      </c>
    </row>
    <row r="85" spans="1:9" hidden="1" x14ac:dyDescent="0.35">
      <c r="A85" s="1">
        <v>2</v>
      </c>
      <c r="B85" s="1">
        <f t="shared" ref="B85:B111" si="2">C84</f>
        <v>1065</v>
      </c>
      <c r="C85" s="1">
        <f>23*60+46</f>
        <v>1426</v>
      </c>
      <c r="D85" s="1" t="s">
        <v>26</v>
      </c>
      <c r="E85" s="1" t="s">
        <v>18</v>
      </c>
      <c r="F85" s="1">
        <v>1</v>
      </c>
    </row>
    <row r="86" spans="1:9" hidden="1" x14ac:dyDescent="0.35">
      <c r="A86" s="1">
        <v>2</v>
      </c>
      <c r="B86" s="1">
        <f t="shared" si="2"/>
        <v>1426</v>
      </c>
      <c r="C86" s="1">
        <f>25*60</f>
        <v>1500</v>
      </c>
      <c r="D86" s="1" t="s">
        <v>27</v>
      </c>
      <c r="E86" s="1" t="s">
        <v>14</v>
      </c>
      <c r="F86" s="1">
        <v>1</v>
      </c>
    </row>
    <row r="87" spans="1:9" hidden="1" x14ac:dyDescent="0.35">
      <c r="A87" s="1">
        <v>2</v>
      </c>
      <c r="B87" s="1">
        <f t="shared" si="2"/>
        <v>1500</v>
      </c>
      <c r="C87" s="1">
        <f>25*60+55</f>
        <v>1555</v>
      </c>
      <c r="D87" s="4" t="s">
        <v>12</v>
      </c>
      <c r="E87" s="4" t="s">
        <v>19</v>
      </c>
      <c r="F87" s="1">
        <v>1</v>
      </c>
      <c r="G87">
        <f>SUM(I87:I111)</f>
        <v>216</v>
      </c>
      <c r="I87">
        <f t="shared" ref="I87:I89" si="3">C87-B87</f>
        <v>55</v>
      </c>
    </row>
    <row r="88" spans="1:9" hidden="1" x14ac:dyDescent="0.35">
      <c r="A88" s="1">
        <v>2</v>
      </c>
      <c r="B88" s="3">
        <f t="shared" si="2"/>
        <v>1555</v>
      </c>
      <c r="C88" s="3">
        <f>26*60+10</f>
        <v>1570</v>
      </c>
      <c r="D88" s="3" t="s">
        <v>12</v>
      </c>
      <c r="E88" s="3" t="s">
        <v>21</v>
      </c>
      <c r="F88" s="3">
        <v>1</v>
      </c>
      <c r="I88">
        <f t="shared" si="3"/>
        <v>15</v>
      </c>
    </row>
    <row r="89" spans="1:9" hidden="1" x14ac:dyDescent="0.35">
      <c r="A89" s="1">
        <v>2</v>
      </c>
      <c r="B89" s="1">
        <f t="shared" si="2"/>
        <v>1570</v>
      </c>
      <c r="C89" s="1">
        <f>26*60+43</f>
        <v>1603</v>
      </c>
      <c r="D89" s="1" t="s">
        <v>12</v>
      </c>
      <c r="E89" s="1" t="s">
        <v>18</v>
      </c>
      <c r="F89" s="1">
        <v>1</v>
      </c>
      <c r="I89">
        <f t="shared" si="3"/>
        <v>33</v>
      </c>
    </row>
    <row r="90" spans="1:9" hidden="1" x14ac:dyDescent="0.35">
      <c r="A90" s="1">
        <v>2</v>
      </c>
      <c r="B90" s="1">
        <f t="shared" si="2"/>
        <v>1603</v>
      </c>
      <c r="C90" s="1">
        <f>29*60+44</f>
        <v>1784</v>
      </c>
      <c r="D90" s="1" t="s">
        <v>12</v>
      </c>
      <c r="E90" s="1" t="s">
        <v>14</v>
      </c>
      <c r="F90" s="1">
        <v>1</v>
      </c>
    </row>
    <row r="91" spans="1:9" hidden="1" x14ac:dyDescent="0.35">
      <c r="A91" s="1">
        <v>2</v>
      </c>
      <c r="B91" s="1">
        <f t="shared" si="2"/>
        <v>1784</v>
      </c>
      <c r="C91" s="1">
        <f>39*60+8</f>
        <v>2348</v>
      </c>
      <c r="D91" s="1" t="s">
        <v>15</v>
      </c>
      <c r="E91" s="1" t="s">
        <v>16</v>
      </c>
      <c r="F91" s="1">
        <v>1</v>
      </c>
    </row>
    <row r="92" spans="1:9" hidden="1" x14ac:dyDescent="0.35">
      <c r="A92" s="1">
        <v>2</v>
      </c>
      <c r="B92" s="1">
        <f t="shared" si="2"/>
        <v>2348</v>
      </c>
      <c r="C92" s="1">
        <f>39*60+21</f>
        <v>2361</v>
      </c>
      <c r="D92" s="1" t="s">
        <v>15</v>
      </c>
      <c r="E92" s="1" t="s">
        <v>18</v>
      </c>
      <c r="F92" s="1">
        <v>2</v>
      </c>
    </row>
    <row r="93" spans="1:9" hidden="1" x14ac:dyDescent="0.35">
      <c r="A93" s="1">
        <v>2</v>
      </c>
      <c r="B93" s="1">
        <f t="shared" si="2"/>
        <v>2361</v>
      </c>
      <c r="C93" s="1">
        <f>39*60+47</f>
        <v>2387</v>
      </c>
      <c r="D93" s="4" t="s">
        <v>12</v>
      </c>
      <c r="E93" s="4" t="s">
        <v>19</v>
      </c>
      <c r="F93" s="1">
        <v>2</v>
      </c>
      <c r="I93">
        <f>C93-B93</f>
        <v>26</v>
      </c>
    </row>
    <row r="94" spans="1:9" hidden="1" x14ac:dyDescent="0.35">
      <c r="A94" s="1">
        <v>2</v>
      </c>
      <c r="B94" s="1">
        <f t="shared" si="2"/>
        <v>2387</v>
      </c>
      <c r="C94" s="1">
        <f>49*60+45</f>
        <v>2985</v>
      </c>
      <c r="D94" s="1" t="s">
        <v>27</v>
      </c>
      <c r="E94" s="1" t="s">
        <v>14</v>
      </c>
      <c r="F94" s="1">
        <v>2</v>
      </c>
    </row>
    <row r="95" spans="1:9" hidden="1" x14ac:dyDescent="0.35">
      <c r="A95" s="1">
        <v>2</v>
      </c>
      <c r="B95" s="1">
        <f t="shared" si="2"/>
        <v>2985</v>
      </c>
      <c r="C95" s="1">
        <f>49*60+55</f>
        <v>2995</v>
      </c>
      <c r="D95" s="4" t="s">
        <v>12</v>
      </c>
      <c r="E95" s="4" t="s">
        <v>19</v>
      </c>
      <c r="F95" s="1">
        <v>2</v>
      </c>
      <c r="I95">
        <f>C95-B95</f>
        <v>10</v>
      </c>
    </row>
    <row r="96" spans="1:9" hidden="1" x14ac:dyDescent="0.35">
      <c r="A96" s="1">
        <v>2</v>
      </c>
      <c r="B96" s="1">
        <f t="shared" si="2"/>
        <v>2995</v>
      </c>
      <c r="C96" s="1">
        <f>50*60+16</f>
        <v>3016</v>
      </c>
      <c r="D96" s="1" t="s">
        <v>27</v>
      </c>
      <c r="E96" s="1" t="s">
        <v>16</v>
      </c>
      <c r="F96" s="1">
        <v>2</v>
      </c>
    </row>
    <row r="97" spans="1:9" hidden="1" x14ac:dyDescent="0.35">
      <c r="A97" s="1">
        <v>2</v>
      </c>
      <c r="B97" s="1">
        <f t="shared" si="2"/>
        <v>3016</v>
      </c>
      <c r="C97" s="1">
        <f>50*60+18</f>
        <v>3018</v>
      </c>
      <c r="D97" s="4" t="s">
        <v>12</v>
      </c>
      <c r="E97" s="4" t="s">
        <v>19</v>
      </c>
      <c r="F97" s="1">
        <v>2</v>
      </c>
      <c r="I97">
        <f>C97-B97</f>
        <v>2</v>
      </c>
    </row>
    <row r="98" spans="1:9" hidden="1" x14ac:dyDescent="0.35">
      <c r="A98" s="1">
        <v>2</v>
      </c>
      <c r="B98" s="1">
        <f t="shared" si="2"/>
        <v>3018</v>
      </c>
      <c r="C98" s="1">
        <f>52*60+14</f>
        <v>3134</v>
      </c>
      <c r="D98" s="1" t="s">
        <v>27</v>
      </c>
      <c r="F98" s="1">
        <v>2</v>
      </c>
    </row>
    <row r="99" spans="1:9" hidden="1" x14ac:dyDescent="0.35">
      <c r="A99" s="1">
        <v>2</v>
      </c>
      <c r="B99" s="1">
        <f t="shared" si="2"/>
        <v>3134</v>
      </c>
      <c r="C99" s="1">
        <f>52*60+32</f>
        <v>3152</v>
      </c>
      <c r="D99" s="4" t="s">
        <v>12</v>
      </c>
      <c r="E99" s="4" t="s">
        <v>19</v>
      </c>
      <c r="F99" s="1">
        <v>2</v>
      </c>
      <c r="I99">
        <f>C99-B99</f>
        <v>18</v>
      </c>
    </row>
    <row r="100" spans="1:9" hidden="1" x14ac:dyDescent="0.35">
      <c r="A100" s="1">
        <v>2</v>
      </c>
      <c r="B100" s="1">
        <f t="shared" si="2"/>
        <v>3152</v>
      </c>
      <c r="C100" s="1">
        <f>54*60</f>
        <v>3240</v>
      </c>
      <c r="D100" s="1" t="s">
        <v>27</v>
      </c>
      <c r="F100" s="1">
        <v>2</v>
      </c>
    </row>
    <row r="101" spans="1:9" hidden="1" x14ac:dyDescent="0.35">
      <c r="A101" s="1">
        <v>2</v>
      </c>
      <c r="B101" s="1">
        <f t="shared" si="2"/>
        <v>3240</v>
      </c>
      <c r="C101" s="1">
        <f>54*60+13</f>
        <v>3253</v>
      </c>
      <c r="D101" s="4" t="s">
        <v>12</v>
      </c>
      <c r="E101" s="4" t="s">
        <v>19</v>
      </c>
      <c r="F101" s="1">
        <v>2</v>
      </c>
      <c r="I101">
        <f>C101-B101</f>
        <v>13</v>
      </c>
    </row>
    <row r="102" spans="1:9" hidden="1" x14ac:dyDescent="0.35">
      <c r="A102" s="1">
        <v>2</v>
      </c>
      <c r="B102" s="1">
        <f t="shared" si="2"/>
        <v>3253</v>
      </c>
      <c r="C102" s="1">
        <f>57*60</f>
        <v>3420</v>
      </c>
      <c r="D102" s="1" t="s">
        <v>27</v>
      </c>
      <c r="E102" s="1" t="s">
        <v>14</v>
      </c>
      <c r="F102" s="1">
        <v>2</v>
      </c>
    </row>
    <row r="103" spans="1:9" hidden="1" x14ac:dyDescent="0.35">
      <c r="A103" s="1">
        <v>2</v>
      </c>
      <c r="B103" s="3">
        <f t="shared" si="2"/>
        <v>3420</v>
      </c>
      <c r="C103" s="3">
        <f>57*60+10</f>
        <v>3430</v>
      </c>
      <c r="D103" s="3" t="s">
        <v>12</v>
      </c>
      <c r="E103" s="3" t="s">
        <v>21</v>
      </c>
      <c r="F103" s="3">
        <v>2</v>
      </c>
      <c r="I103">
        <f>C103-B103</f>
        <v>10</v>
      </c>
    </row>
    <row r="104" spans="1:9" hidden="1" x14ac:dyDescent="0.35">
      <c r="A104" s="1">
        <v>2</v>
      </c>
      <c r="B104" s="1">
        <f t="shared" si="2"/>
        <v>3430</v>
      </c>
      <c r="C104" s="1">
        <v>3969</v>
      </c>
      <c r="D104" s="1" t="s">
        <v>12</v>
      </c>
      <c r="E104" s="1" t="s">
        <v>14</v>
      </c>
      <c r="F104" s="1">
        <v>2</v>
      </c>
    </row>
    <row r="105" spans="1:9" hidden="1" x14ac:dyDescent="0.35">
      <c r="A105" s="1">
        <v>2</v>
      </c>
      <c r="B105" s="1">
        <f t="shared" si="2"/>
        <v>3969</v>
      </c>
      <c r="C105" s="1">
        <v>4247</v>
      </c>
      <c r="D105" s="1" t="s">
        <v>26</v>
      </c>
      <c r="E105" s="1" t="s">
        <v>14</v>
      </c>
      <c r="F105" s="1">
        <v>3</v>
      </c>
    </row>
    <row r="106" spans="1:9" hidden="1" x14ac:dyDescent="0.35">
      <c r="A106" s="1">
        <v>2</v>
      </c>
      <c r="B106" s="1">
        <f t="shared" si="2"/>
        <v>4247</v>
      </c>
      <c r="C106" s="1">
        <v>4255</v>
      </c>
      <c r="D106" s="4" t="s">
        <v>12</v>
      </c>
      <c r="E106" s="4" t="s">
        <v>19</v>
      </c>
      <c r="F106" s="1">
        <v>3</v>
      </c>
      <c r="I106">
        <f>C106-B106</f>
        <v>8</v>
      </c>
    </row>
    <row r="107" spans="1:9" hidden="1" x14ac:dyDescent="0.35">
      <c r="A107" s="1">
        <v>2</v>
      </c>
      <c r="B107" s="1">
        <f t="shared" si="2"/>
        <v>4255</v>
      </c>
      <c r="C107" s="1">
        <v>4352</v>
      </c>
      <c r="D107" s="1" t="s">
        <v>27</v>
      </c>
      <c r="E107" s="1" t="s">
        <v>18</v>
      </c>
      <c r="F107" s="1">
        <v>3</v>
      </c>
    </row>
    <row r="108" spans="1:9" hidden="1" x14ac:dyDescent="0.35">
      <c r="A108" s="1">
        <v>2</v>
      </c>
      <c r="B108" s="3">
        <f t="shared" si="2"/>
        <v>4352</v>
      </c>
      <c r="C108" s="3">
        <v>4375</v>
      </c>
      <c r="D108" s="3" t="s">
        <v>12</v>
      </c>
      <c r="E108" s="3" t="s">
        <v>21</v>
      </c>
      <c r="F108" s="3">
        <v>3</v>
      </c>
      <c r="I108">
        <f>C108-B108</f>
        <v>23</v>
      </c>
    </row>
    <row r="109" spans="1:9" hidden="1" x14ac:dyDescent="0.35">
      <c r="A109" s="1">
        <v>2</v>
      </c>
      <c r="B109" s="1">
        <f t="shared" si="2"/>
        <v>4375</v>
      </c>
      <c r="C109" s="1">
        <v>4484</v>
      </c>
      <c r="D109" s="1" t="s">
        <v>12</v>
      </c>
      <c r="E109" s="1" t="s">
        <v>14</v>
      </c>
      <c r="F109" s="1">
        <v>3</v>
      </c>
    </row>
    <row r="110" spans="1:9" hidden="1" x14ac:dyDescent="0.35">
      <c r="A110" s="1">
        <v>2</v>
      </c>
      <c r="B110" s="1">
        <f t="shared" si="2"/>
        <v>4484</v>
      </c>
      <c r="C110" s="1">
        <v>4730</v>
      </c>
      <c r="D110" s="1" t="s">
        <v>26</v>
      </c>
      <c r="E110" s="1" t="s">
        <v>14</v>
      </c>
      <c r="F110" s="1">
        <v>4</v>
      </c>
    </row>
    <row r="111" spans="1:9" hidden="1" x14ac:dyDescent="0.35">
      <c r="A111" s="2">
        <v>2</v>
      </c>
      <c r="B111" s="2">
        <f t="shared" si="2"/>
        <v>4730</v>
      </c>
      <c r="C111" s="2">
        <v>4733</v>
      </c>
      <c r="D111" s="5" t="s">
        <v>12</v>
      </c>
      <c r="E111" s="5" t="s">
        <v>19</v>
      </c>
      <c r="F111" s="2">
        <v>4</v>
      </c>
      <c r="I111">
        <f>C111-B111</f>
        <v>3</v>
      </c>
    </row>
    <row r="112" spans="1:9" hidden="1" x14ac:dyDescent="0.35">
      <c r="A112" s="1">
        <v>3</v>
      </c>
      <c r="B112" s="1">
        <v>0</v>
      </c>
      <c r="C112" s="1">
        <v>325</v>
      </c>
      <c r="D112" s="1" t="s">
        <v>12</v>
      </c>
      <c r="E112" s="1" t="s">
        <v>14</v>
      </c>
      <c r="F112" s="1">
        <v>0</v>
      </c>
    </row>
    <row r="113" spans="1:9" hidden="1" x14ac:dyDescent="0.35">
      <c r="A113" s="1">
        <v>3</v>
      </c>
      <c r="B113" s="1">
        <f>C112</f>
        <v>325</v>
      </c>
      <c r="C113" s="1">
        <v>2439</v>
      </c>
      <c r="D113" s="1" t="s">
        <v>26</v>
      </c>
      <c r="F113" s="1">
        <v>1</v>
      </c>
    </row>
    <row r="114" spans="1:9" hidden="1" x14ac:dyDescent="0.35">
      <c r="A114" s="1">
        <v>3</v>
      </c>
      <c r="B114" s="1">
        <f t="shared" ref="B114:B177" si="4">C113</f>
        <v>2439</v>
      </c>
      <c r="C114" s="1">
        <v>2537</v>
      </c>
      <c r="D114" s="1" t="s">
        <v>17</v>
      </c>
      <c r="E114" s="1" t="s">
        <v>14</v>
      </c>
      <c r="F114" s="1">
        <v>1</v>
      </c>
    </row>
    <row r="115" spans="1:9" hidden="1" x14ac:dyDescent="0.35">
      <c r="A115" s="1">
        <v>3</v>
      </c>
      <c r="B115" s="1">
        <f t="shared" si="4"/>
        <v>2537</v>
      </c>
      <c r="C115" s="1">
        <v>2549</v>
      </c>
      <c r="D115" s="4" t="s">
        <v>12</v>
      </c>
      <c r="E115" s="4" t="s">
        <v>19</v>
      </c>
      <c r="F115" s="1">
        <v>1</v>
      </c>
      <c r="G115">
        <f>SUM(I115:I178)</f>
        <v>189</v>
      </c>
      <c r="I115">
        <f>C115-B115</f>
        <v>12</v>
      </c>
    </row>
    <row r="116" spans="1:9" hidden="1" x14ac:dyDescent="0.35">
      <c r="A116" s="1">
        <v>3</v>
      </c>
      <c r="B116" s="1">
        <f t="shared" si="4"/>
        <v>2549</v>
      </c>
      <c r="C116" s="1">
        <v>2709</v>
      </c>
      <c r="D116" s="1" t="s">
        <v>26</v>
      </c>
      <c r="F116" s="1">
        <v>1</v>
      </c>
    </row>
    <row r="117" spans="1:9" hidden="1" x14ac:dyDescent="0.35">
      <c r="A117" s="1">
        <v>3</v>
      </c>
      <c r="B117" s="1">
        <f t="shared" si="4"/>
        <v>2709</v>
      </c>
      <c r="C117" s="1">
        <v>2748</v>
      </c>
      <c r="D117" s="1" t="s">
        <v>17</v>
      </c>
      <c r="E117" s="1" t="s">
        <v>14</v>
      </c>
      <c r="F117" s="1">
        <v>1</v>
      </c>
    </row>
    <row r="118" spans="1:9" hidden="1" x14ac:dyDescent="0.35">
      <c r="A118" s="1">
        <v>3</v>
      </c>
      <c r="B118" s="1">
        <f t="shared" si="4"/>
        <v>2748</v>
      </c>
      <c r="C118" s="1">
        <v>2772</v>
      </c>
      <c r="D118" s="4" t="s">
        <v>12</v>
      </c>
      <c r="E118" s="4" t="s">
        <v>19</v>
      </c>
      <c r="F118" s="1">
        <v>1</v>
      </c>
      <c r="I118">
        <f>C118-B118</f>
        <v>24</v>
      </c>
    </row>
    <row r="119" spans="1:9" hidden="1" x14ac:dyDescent="0.35">
      <c r="A119" s="1">
        <v>3</v>
      </c>
      <c r="B119" s="1">
        <f t="shared" si="4"/>
        <v>2772</v>
      </c>
      <c r="C119" s="1">
        <v>2792</v>
      </c>
      <c r="D119" s="1" t="s">
        <v>17</v>
      </c>
      <c r="E119" s="1" t="s">
        <v>14</v>
      </c>
      <c r="F119" s="1">
        <v>1</v>
      </c>
    </row>
    <row r="120" spans="1:9" hidden="1" x14ac:dyDescent="0.35">
      <c r="A120" s="1">
        <v>3</v>
      </c>
      <c r="B120" s="1">
        <f t="shared" si="4"/>
        <v>2792</v>
      </c>
      <c r="C120" s="1">
        <v>2805</v>
      </c>
      <c r="D120" s="4" t="s">
        <v>12</v>
      </c>
      <c r="E120" s="4" t="s">
        <v>19</v>
      </c>
      <c r="F120" s="1">
        <v>1</v>
      </c>
      <c r="I120">
        <f t="shared" ref="I120:I121" si="5">C120-B120</f>
        <v>13</v>
      </c>
    </row>
    <row r="121" spans="1:9" hidden="1" x14ac:dyDescent="0.35">
      <c r="A121" s="1">
        <v>3</v>
      </c>
      <c r="B121" s="6">
        <f t="shared" si="4"/>
        <v>2805</v>
      </c>
      <c r="C121" s="3">
        <v>2833</v>
      </c>
      <c r="D121" s="6" t="s">
        <v>12</v>
      </c>
      <c r="E121" s="3" t="s">
        <v>21</v>
      </c>
      <c r="F121" s="1">
        <v>1</v>
      </c>
      <c r="I121">
        <f t="shared" si="5"/>
        <v>28</v>
      </c>
    </row>
    <row r="122" spans="1:9" hidden="1" x14ac:dyDescent="0.35">
      <c r="A122" s="1">
        <v>3</v>
      </c>
      <c r="B122" s="1">
        <f t="shared" si="4"/>
        <v>2833</v>
      </c>
      <c r="C122" s="1">
        <v>2852</v>
      </c>
      <c r="D122" s="1" t="s">
        <v>12</v>
      </c>
      <c r="E122" s="1" t="s">
        <v>14</v>
      </c>
      <c r="F122" s="1">
        <v>1</v>
      </c>
    </row>
    <row r="123" spans="1:9" hidden="1" x14ac:dyDescent="0.35">
      <c r="A123" s="1">
        <v>3</v>
      </c>
      <c r="B123" s="1">
        <f t="shared" si="4"/>
        <v>2852</v>
      </c>
      <c r="C123" s="1">
        <v>3096</v>
      </c>
      <c r="D123" s="1" t="s">
        <v>26</v>
      </c>
      <c r="F123" s="1">
        <v>2</v>
      </c>
    </row>
    <row r="124" spans="1:9" hidden="1" x14ac:dyDescent="0.35">
      <c r="A124" s="1">
        <v>3</v>
      </c>
      <c r="B124" s="1">
        <f t="shared" si="4"/>
        <v>3096</v>
      </c>
      <c r="C124" s="1">
        <v>3171</v>
      </c>
      <c r="D124" s="1" t="s">
        <v>17</v>
      </c>
      <c r="E124" s="1" t="s">
        <v>14</v>
      </c>
      <c r="F124" s="1">
        <v>2</v>
      </c>
    </row>
    <row r="125" spans="1:9" hidden="1" x14ac:dyDescent="0.35">
      <c r="A125" s="1">
        <v>3</v>
      </c>
      <c r="B125" s="1">
        <f t="shared" si="4"/>
        <v>3171</v>
      </c>
      <c r="C125" s="1">
        <v>3368</v>
      </c>
      <c r="D125" s="1" t="s">
        <v>26</v>
      </c>
      <c r="F125" s="1">
        <v>2</v>
      </c>
    </row>
    <row r="126" spans="1:9" hidden="1" x14ac:dyDescent="0.35">
      <c r="A126" s="1">
        <v>3</v>
      </c>
      <c r="B126" s="1">
        <f t="shared" si="4"/>
        <v>3368</v>
      </c>
      <c r="C126" s="1">
        <v>3443</v>
      </c>
      <c r="D126" s="1" t="s">
        <v>17</v>
      </c>
      <c r="E126" s="1" t="s">
        <v>14</v>
      </c>
      <c r="F126" s="1">
        <v>2</v>
      </c>
    </row>
    <row r="127" spans="1:9" hidden="1" x14ac:dyDescent="0.35">
      <c r="A127" s="1">
        <v>3</v>
      </c>
      <c r="B127" s="1">
        <f t="shared" si="4"/>
        <v>3443</v>
      </c>
      <c r="C127" s="1">
        <v>3474</v>
      </c>
      <c r="D127" s="1" t="s">
        <v>22</v>
      </c>
      <c r="E127" s="1" t="s">
        <v>14</v>
      </c>
      <c r="F127" s="1">
        <v>2</v>
      </c>
    </row>
    <row r="128" spans="1:9" hidden="1" x14ac:dyDescent="0.35">
      <c r="A128" s="1">
        <v>3</v>
      </c>
      <c r="B128" s="1">
        <f t="shared" si="4"/>
        <v>3474</v>
      </c>
      <c r="C128" s="1">
        <v>3639</v>
      </c>
      <c r="D128" s="1" t="s">
        <v>26</v>
      </c>
      <c r="F128" s="1">
        <v>2</v>
      </c>
    </row>
    <row r="129" spans="1:6" hidden="1" x14ac:dyDescent="0.35">
      <c r="A129" s="1">
        <v>3</v>
      </c>
      <c r="B129" s="1">
        <f t="shared" si="4"/>
        <v>3639</v>
      </c>
      <c r="C129" s="1">
        <v>3714</v>
      </c>
      <c r="D129" s="1" t="s">
        <v>22</v>
      </c>
      <c r="E129" s="1" t="s">
        <v>14</v>
      </c>
      <c r="F129" s="1">
        <v>2</v>
      </c>
    </row>
    <row r="130" spans="1:6" hidden="1" x14ac:dyDescent="0.35">
      <c r="A130" s="1">
        <v>3</v>
      </c>
      <c r="B130" s="1">
        <f t="shared" si="4"/>
        <v>3714</v>
      </c>
      <c r="C130" s="1">
        <v>3832</v>
      </c>
      <c r="D130" s="1" t="s">
        <v>26</v>
      </c>
      <c r="F130" s="1">
        <v>2</v>
      </c>
    </row>
    <row r="131" spans="1:6" hidden="1" x14ac:dyDescent="0.35">
      <c r="A131" s="1">
        <v>3</v>
      </c>
      <c r="B131" s="1">
        <f t="shared" si="4"/>
        <v>3832</v>
      </c>
      <c r="C131" s="1">
        <v>3864</v>
      </c>
      <c r="D131" s="1" t="s">
        <v>22</v>
      </c>
      <c r="E131" s="1" t="s">
        <v>14</v>
      </c>
      <c r="F131" s="1">
        <v>2</v>
      </c>
    </row>
    <row r="132" spans="1:6" hidden="1" x14ac:dyDescent="0.35">
      <c r="A132" s="1">
        <v>3</v>
      </c>
      <c r="B132" s="1">
        <f t="shared" si="4"/>
        <v>3864</v>
      </c>
      <c r="C132" s="1">
        <v>3946</v>
      </c>
      <c r="D132" s="1" t="s">
        <v>26</v>
      </c>
      <c r="F132" s="1">
        <v>2</v>
      </c>
    </row>
    <row r="133" spans="1:6" hidden="1" x14ac:dyDescent="0.35">
      <c r="A133" s="1">
        <v>3</v>
      </c>
      <c r="B133" s="1">
        <f t="shared" si="4"/>
        <v>3946</v>
      </c>
      <c r="C133" s="1">
        <v>4008</v>
      </c>
      <c r="D133" s="1" t="s">
        <v>22</v>
      </c>
      <c r="E133" s="1" t="s">
        <v>14</v>
      </c>
      <c r="F133" s="1">
        <v>2</v>
      </c>
    </row>
    <row r="134" spans="1:6" hidden="1" x14ac:dyDescent="0.35">
      <c r="A134" s="1">
        <v>3</v>
      </c>
      <c r="B134" s="1">
        <f t="shared" si="4"/>
        <v>4008</v>
      </c>
      <c r="C134" s="1">
        <v>4058</v>
      </c>
      <c r="D134" s="1" t="s">
        <v>26</v>
      </c>
      <c r="F134" s="1">
        <v>2</v>
      </c>
    </row>
    <row r="135" spans="1:6" hidden="1" x14ac:dyDescent="0.35">
      <c r="A135" s="1">
        <v>3</v>
      </c>
      <c r="B135" s="1">
        <f t="shared" si="4"/>
        <v>4058</v>
      </c>
      <c r="C135" s="1">
        <v>4091</v>
      </c>
      <c r="D135" s="1" t="s">
        <v>22</v>
      </c>
      <c r="E135" s="1" t="s">
        <v>14</v>
      </c>
      <c r="F135" s="1">
        <v>2</v>
      </c>
    </row>
    <row r="136" spans="1:6" hidden="1" x14ac:dyDescent="0.35">
      <c r="A136" s="1">
        <v>3</v>
      </c>
      <c r="B136" s="1">
        <f t="shared" si="4"/>
        <v>4091</v>
      </c>
      <c r="C136" s="1">
        <v>4146</v>
      </c>
      <c r="D136" s="1" t="s">
        <v>26</v>
      </c>
      <c r="F136" s="1">
        <v>2</v>
      </c>
    </row>
    <row r="137" spans="1:6" hidden="1" x14ac:dyDescent="0.35">
      <c r="A137" s="1">
        <v>3</v>
      </c>
      <c r="B137" s="1">
        <f t="shared" si="4"/>
        <v>4146</v>
      </c>
      <c r="C137" s="1">
        <v>4151</v>
      </c>
      <c r="D137" s="1" t="s">
        <v>22</v>
      </c>
      <c r="E137" s="1" t="s">
        <v>14</v>
      </c>
      <c r="F137" s="1">
        <v>2</v>
      </c>
    </row>
    <row r="138" spans="1:6" hidden="1" x14ac:dyDescent="0.35">
      <c r="A138" s="1">
        <v>3</v>
      </c>
      <c r="B138" s="1">
        <f t="shared" si="4"/>
        <v>4151</v>
      </c>
      <c r="C138" s="1">
        <v>4219</v>
      </c>
      <c r="D138" s="1" t="s">
        <v>26</v>
      </c>
      <c r="F138" s="1">
        <v>2</v>
      </c>
    </row>
    <row r="139" spans="1:6" hidden="1" x14ac:dyDescent="0.35">
      <c r="A139" s="1">
        <v>3</v>
      </c>
      <c r="B139" s="1">
        <f t="shared" si="4"/>
        <v>4219</v>
      </c>
      <c r="C139" s="1">
        <v>4254</v>
      </c>
      <c r="D139" s="1" t="s">
        <v>22</v>
      </c>
      <c r="E139" s="1" t="s">
        <v>14</v>
      </c>
      <c r="F139" s="1">
        <v>2</v>
      </c>
    </row>
    <row r="140" spans="1:6" hidden="1" x14ac:dyDescent="0.35">
      <c r="A140" s="1">
        <v>3</v>
      </c>
      <c r="B140" s="1">
        <f t="shared" si="4"/>
        <v>4254</v>
      </c>
      <c r="C140" s="1">
        <v>4318</v>
      </c>
      <c r="D140" s="1" t="s">
        <v>26</v>
      </c>
      <c r="F140" s="1">
        <v>2</v>
      </c>
    </row>
    <row r="141" spans="1:6" hidden="1" x14ac:dyDescent="0.35">
      <c r="A141" s="1">
        <v>3</v>
      </c>
      <c r="B141" s="1">
        <f t="shared" si="4"/>
        <v>4318</v>
      </c>
      <c r="C141" s="1">
        <v>4319</v>
      </c>
      <c r="D141" s="1" t="s">
        <v>22</v>
      </c>
      <c r="E141" s="1" t="s">
        <v>14</v>
      </c>
      <c r="F141" s="1">
        <v>2</v>
      </c>
    </row>
    <row r="142" spans="1:6" hidden="1" x14ac:dyDescent="0.35">
      <c r="A142" s="1">
        <v>3</v>
      </c>
      <c r="B142" s="1">
        <f t="shared" si="4"/>
        <v>4319</v>
      </c>
      <c r="C142" s="1">
        <v>4401</v>
      </c>
      <c r="D142" s="1" t="s">
        <v>26</v>
      </c>
      <c r="F142" s="1">
        <v>2</v>
      </c>
    </row>
    <row r="143" spans="1:6" hidden="1" x14ac:dyDescent="0.35">
      <c r="A143" s="1">
        <v>3</v>
      </c>
      <c r="B143" s="1">
        <f t="shared" si="4"/>
        <v>4401</v>
      </c>
      <c r="C143" s="1">
        <v>4405</v>
      </c>
      <c r="D143" s="1" t="s">
        <v>22</v>
      </c>
      <c r="E143" s="1" t="s">
        <v>14</v>
      </c>
      <c r="F143" s="1">
        <v>2</v>
      </c>
    </row>
    <row r="144" spans="1:6" hidden="1" x14ac:dyDescent="0.35">
      <c r="A144" s="1">
        <v>3</v>
      </c>
      <c r="B144" s="1">
        <f t="shared" si="4"/>
        <v>4405</v>
      </c>
      <c r="C144" s="1">
        <v>4506</v>
      </c>
      <c r="D144" s="1" t="s">
        <v>26</v>
      </c>
      <c r="F144" s="1">
        <v>2</v>
      </c>
    </row>
    <row r="145" spans="1:9" hidden="1" x14ac:dyDescent="0.35">
      <c r="A145" s="1">
        <v>3</v>
      </c>
      <c r="B145" s="1">
        <f t="shared" si="4"/>
        <v>4506</v>
      </c>
      <c r="C145" s="1">
        <v>4549</v>
      </c>
      <c r="D145" s="1" t="s">
        <v>22</v>
      </c>
      <c r="E145" s="1" t="s">
        <v>14</v>
      </c>
      <c r="F145" s="1">
        <v>2</v>
      </c>
    </row>
    <row r="146" spans="1:9" hidden="1" x14ac:dyDescent="0.35">
      <c r="A146" s="1">
        <v>3</v>
      </c>
      <c r="B146" s="1">
        <f t="shared" si="4"/>
        <v>4549</v>
      </c>
      <c r="C146" s="1">
        <v>4626</v>
      </c>
      <c r="D146" s="1" t="s">
        <v>26</v>
      </c>
      <c r="F146" s="1">
        <v>2</v>
      </c>
    </row>
    <row r="147" spans="1:9" hidden="1" x14ac:dyDescent="0.35">
      <c r="A147" s="1">
        <v>3</v>
      </c>
      <c r="B147" s="1">
        <f t="shared" si="4"/>
        <v>4626</v>
      </c>
      <c r="C147" s="1">
        <v>4732</v>
      </c>
      <c r="D147" s="1" t="s">
        <v>22</v>
      </c>
      <c r="E147" s="1" t="s">
        <v>14</v>
      </c>
      <c r="F147" s="1">
        <v>2</v>
      </c>
    </row>
    <row r="148" spans="1:9" hidden="1" x14ac:dyDescent="0.35">
      <c r="A148" s="1">
        <v>3</v>
      </c>
      <c r="B148" s="1">
        <f t="shared" si="4"/>
        <v>4732</v>
      </c>
      <c r="C148" s="1">
        <v>4806</v>
      </c>
      <c r="D148" s="1" t="s">
        <v>26</v>
      </c>
      <c r="F148" s="1">
        <v>2</v>
      </c>
    </row>
    <row r="149" spans="1:9" hidden="1" x14ac:dyDescent="0.35">
      <c r="A149" s="1">
        <v>3</v>
      </c>
      <c r="B149" s="1">
        <f t="shared" si="4"/>
        <v>4806</v>
      </c>
      <c r="C149" s="1">
        <v>4877</v>
      </c>
      <c r="D149" s="1" t="s">
        <v>22</v>
      </c>
      <c r="E149" s="1" t="s">
        <v>14</v>
      </c>
      <c r="F149" s="1">
        <v>2</v>
      </c>
    </row>
    <row r="150" spans="1:9" hidden="1" x14ac:dyDescent="0.35">
      <c r="A150" s="1">
        <v>3</v>
      </c>
      <c r="B150" s="1">
        <f t="shared" si="4"/>
        <v>4877</v>
      </c>
      <c r="C150" s="1">
        <v>4941</v>
      </c>
      <c r="D150" s="1" t="s">
        <v>26</v>
      </c>
      <c r="F150" s="1">
        <v>2</v>
      </c>
    </row>
    <row r="151" spans="1:9" hidden="1" x14ac:dyDescent="0.35">
      <c r="A151" s="1">
        <v>3</v>
      </c>
      <c r="B151" s="1">
        <f t="shared" si="4"/>
        <v>4941</v>
      </c>
      <c r="C151" s="1">
        <v>4956</v>
      </c>
      <c r="D151" s="1" t="s">
        <v>22</v>
      </c>
      <c r="E151" s="1" t="s">
        <v>14</v>
      </c>
      <c r="F151" s="1">
        <v>2</v>
      </c>
    </row>
    <row r="152" spans="1:9" hidden="1" x14ac:dyDescent="0.35">
      <c r="A152" s="1">
        <v>3</v>
      </c>
      <c r="B152" s="1">
        <f t="shared" si="4"/>
        <v>4956</v>
      </c>
      <c r="C152" s="1">
        <v>4978</v>
      </c>
      <c r="D152" s="1" t="s">
        <v>17</v>
      </c>
      <c r="E152" s="1" t="s">
        <v>14</v>
      </c>
      <c r="F152" s="1">
        <v>2</v>
      </c>
    </row>
    <row r="153" spans="1:9" hidden="1" x14ac:dyDescent="0.35">
      <c r="A153" s="1">
        <v>3</v>
      </c>
      <c r="B153" s="1">
        <f t="shared" si="4"/>
        <v>4978</v>
      </c>
      <c r="C153" s="1">
        <v>5005</v>
      </c>
      <c r="D153" s="1" t="s">
        <v>22</v>
      </c>
      <c r="E153" s="1" t="s">
        <v>14</v>
      </c>
      <c r="F153" s="1">
        <v>2</v>
      </c>
    </row>
    <row r="154" spans="1:9" hidden="1" x14ac:dyDescent="0.35">
      <c r="A154" s="1">
        <v>3</v>
      </c>
      <c r="B154" s="1">
        <f t="shared" si="4"/>
        <v>5005</v>
      </c>
      <c r="C154" s="1">
        <v>5059</v>
      </c>
      <c r="D154" s="1" t="s">
        <v>26</v>
      </c>
      <c r="F154" s="1">
        <v>2</v>
      </c>
    </row>
    <row r="155" spans="1:9" hidden="1" x14ac:dyDescent="0.35">
      <c r="A155" s="1">
        <v>3</v>
      </c>
      <c r="B155" s="1">
        <f t="shared" si="4"/>
        <v>5059</v>
      </c>
      <c r="C155" s="1">
        <v>5136</v>
      </c>
      <c r="D155" s="1" t="s">
        <v>22</v>
      </c>
      <c r="E155" s="1" t="s">
        <v>14</v>
      </c>
      <c r="F155" s="1">
        <v>2</v>
      </c>
    </row>
    <row r="156" spans="1:9" hidden="1" x14ac:dyDescent="0.35">
      <c r="A156" s="1">
        <v>3</v>
      </c>
      <c r="B156" s="1">
        <f t="shared" si="4"/>
        <v>5136</v>
      </c>
      <c r="C156" s="1">
        <v>5206</v>
      </c>
      <c r="D156" s="1" t="s">
        <v>26</v>
      </c>
      <c r="F156" s="1">
        <v>2</v>
      </c>
    </row>
    <row r="157" spans="1:9" hidden="1" x14ac:dyDescent="0.35">
      <c r="A157" s="1">
        <v>3</v>
      </c>
      <c r="B157" s="1">
        <f t="shared" si="4"/>
        <v>5206</v>
      </c>
      <c r="C157" s="1">
        <v>5296</v>
      </c>
      <c r="D157" s="1" t="s">
        <v>22</v>
      </c>
      <c r="E157" s="1" t="s">
        <v>14</v>
      </c>
      <c r="F157" s="1">
        <v>2</v>
      </c>
    </row>
    <row r="158" spans="1:9" hidden="1" x14ac:dyDescent="0.35">
      <c r="A158" s="1">
        <v>3</v>
      </c>
      <c r="B158" s="1">
        <f t="shared" si="4"/>
        <v>5296</v>
      </c>
      <c r="C158" s="1">
        <v>5370</v>
      </c>
      <c r="D158" s="1" t="s">
        <v>26</v>
      </c>
      <c r="F158" s="1">
        <v>2</v>
      </c>
    </row>
    <row r="159" spans="1:9" hidden="1" x14ac:dyDescent="0.35">
      <c r="A159" s="1">
        <v>3</v>
      </c>
      <c r="B159" s="1">
        <f t="shared" si="4"/>
        <v>5370</v>
      </c>
      <c r="C159" s="1">
        <v>5394</v>
      </c>
      <c r="D159" s="1" t="s">
        <v>22</v>
      </c>
      <c r="E159" s="1" t="s">
        <v>14</v>
      </c>
      <c r="F159" s="1">
        <v>2</v>
      </c>
    </row>
    <row r="160" spans="1:9" hidden="1" x14ac:dyDescent="0.35">
      <c r="A160" s="1">
        <v>3</v>
      </c>
      <c r="B160" s="1">
        <f t="shared" si="4"/>
        <v>5394</v>
      </c>
      <c r="C160" s="1">
        <v>5408</v>
      </c>
      <c r="D160" s="4" t="s">
        <v>12</v>
      </c>
      <c r="E160" s="4" t="s">
        <v>19</v>
      </c>
      <c r="F160" s="1">
        <v>2</v>
      </c>
      <c r="I160">
        <f>C160-B160</f>
        <v>14</v>
      </c>
    </row>
    <row r="161" spans="1:9" hidden="1" x14ac:dyDescent="0.35">
      <c r="A161" s="1">
        <v>3</v>
      </c>
      <c r="B161" s="1">
        <f t="shared" si="4"/>
        <v>5408</v>
      </c>
      <c r="C161" s="1">
        <v>5479</v>
      </c>
      <c r="D161" s="1" t="s">
        <v>22</v>
      </c>
      <c r="E161" s="1" t="s">
        <v>14</v>
      </c>
      <c r="F161" s="1">
        <v>2</v>
      </c>
    </row>
    <row r="162" spans="1:9" hidden="1" x14ac:dyDescent="0.35">
      <c r="A162" s="1">
        <v>3</v>
      </c>
      <c r="B162" s="1">
        <f t="shared" si="4"/>
        <v>5479</v>
      </c>
      <c r="C162" s="1">
        <v>5542</v>
      </c>
      <c r="D162" s="1" t="s">
        <v>26</v>
      </c>
      <c r="F162" s="1">
        <v>2</v>
      </c>
    </row>
    <row r="163" spans="1:9" hidden="1" x14ac:dyDescent="0.35">
      <c r="A163" s="1">
        <v>3</v>
      </c>
      <c r="B163" s="1">
        <f t="shared" si="4"/>
        <v>5542</v>
      </c>
      <c r="C163" s="1">
        <v>5542</v>
      </c>
      <c r="D163" s="1" t="s">
        <v>22</v>
      </c>
      <c r="E163" s="1" t="s">
        <v>14</v>
      </c>
      <c r="F163" s="1">
        <v>2</v>
      </c>
    </row>
    <row r="164" spans="1:9" hidden="1" x14ac:dyDescent="0.35">
      <c r="A164" s="1">
        <v>3</v>
      </c>
      <c r="B164" s="1">
        <f t="shared" si="4"/>
        <v>5542</v>
      </c>
      <c r="C164" s="1">
        <v>5557</v>
      </c>
      <c r="D164" s="1" t="s">
        <v>26</v>
      </c>
      <c r="F164" s="1">
        <v>2</v>
      </c>
    </row>
    <row r="165" spans="1:9" hidden="1" x14ac:dyDescent="0.35">
      <c r="A165" s="1">
        <v>3</v>
      </c>
      <c r="B165" s="1">
        <f t="shared" si="4"/>
        <v>5557</v>
      </c>
      <c r="C165" s="1">
        <v>5628</v>
      </c>
      <c r="D165" s="1" t="s">
        <v>22</v>
      </c>
      <c r="E165" s="1" t="s">
        <v>14</v>
      </c>
      <c r="F165" s="1">
        <v>2</v>
      </c>
    </row>
    <row r="166" spans="1:9" hidden="1" x14ac:dyDescent="0.35">
      <c r="A166" s="1">
        <v>3</v>
      </c>
      <c r="B166" s="1">
        <f t="shared" si="4"/>
        <v>5628</v>
      </c>
      <c r="C166" s="1">
        <v>5739</v>
      </c>
      <c r="D166" s="1" t="s">
        <v>26</v>
      </c>
      <c r="F166" s="1">
        <v>2</v>
      </c>
    </row>
    <row r="167" spans="1:9" hidden="1" x14ac:dyDescent="0.35">
      <c r="A167" s="1">
        <v>3</v>
      </c>
      <c r="B167" s="1">
        <f t="shared" si="4"/>
        <v>5739</v>
      </c>
      <c r="C167" s="1">
        <v>5822</v>
      </c>
      <c r="D167" s="1" t="s">
        <v>22</v>
      </c>
      <c r="E167" s="1" t="s">
        <v>14</v>
      </c>
      <c r="F167" s="1">
        <v>2</v>
      </c>
    </row>
    <row r="168" spans="1:9" hidden="1" x14ac:dyDescent="0.35">
      <c r="A168" s="1">
        <v>3</v>
      </c>
      <c r="B168" s="1">
        <f t="shared" si="4"/>
        <v>5822</v>
      </c>
      <c r="C168" s="1">
        <v>5936</v>
      </c>
      <c r="D168" s="1" t="s">
        <v>26</v>
      </c>
      <c r="F168" s="1">
        <v>2</v>
      </c>
    </row>
    <row r="169" spans="1:9" hidden="1" x14ac:dyDescent="0.35">
      <c r="A169" s="1">
        <v>3</v>
      </c>
      <c r="B169" s="1">
        <f t="shared" si="4"/>
        <v>5936</v>
      </c>
      <c r="C169" s="1">
        <v>6086</v>
      </c>
      <c r="D169" s="1" t="s">
        <v>22</v>
      </c>
      <c r="E169" s="1" t="s">
        <v>14</v>
      </c>
      <c r="F169" s="1">
        <v>2</v>
      </c>
    </row>
    <row r="170" spans="1:9" hidden="1" x14ac:dyDescent="0.35">
      <c r="A170" s="1">
        <v>3</v>
      </c>
      <c r="B170" s="1">
        <f t="shared" si="4"/>
        <v>6086</v>
      </c>
      <c r="C170" s="1">
        <v>6207</v>
      </c>
      <c r="D170" s="1" t="s">
        <v>17</v>
      </c>
      <c r="E170" s="1" t="s">
        <v>14</v>
      </c>
      <c r="F170" s="1">
        <v>2</v>
      </c>
    </row>
    <row r="171" spans="1:9" hidden="1" x14ac:dyDescent="0.35">
      <c r="A171" s="1">
        <v>3</v>
      </c>
      <c r="B171" s="6">
        <f t="shared" si="4"/>
        <v>6207</v>
      </c>
      <c r="C171" s="3">
        <v>6254</v>
      </c>
      <c r="D171" s="6" t="s">
        <v>12</v>
      </c>
      <c r="E171" s="3" t="s">
        <v>21</v>
      </c>
      <c r="F171" s="1">
        <v>2</v>
      </c>
      <c r="I171">
        <f>C171-B171</f>
        <v>47</v>
      </c>
    </row>
    <row r="172" spans="1:9" hidden="1" x14ac:dyDescent="0.35">
      <c r="A172" s="1">
        <v>3</v>
      </c>
      <c r="B172" s="1">
        <f t="shared" si="4"/>
        <v>6254</v>
      </c>
      <c r="C172" s="1">
        <v>6271</v>
      </c>
      <c r="D172" s="1" t="s">
        <v>12</v>
      </c>
      <c r="E172" s="1" t="s">
        <v>14</v>
      </c>
      <c r="F172" s="1">
        <v>3</v>
      </c>
    </row>
    <row r="173" spans="1:9" hidden="1" x14ac:dyDescent="0.35">
      <c r="A173" s="1">
        <v>3</v>
      </c>
      <c r="B173" s="1">
        <f t="shared" si="4"/>
        <v>6271</v>
      </c>
      <c r="C173" s="1">
        <v>6421</v>
      </c>
      <c r="D173" s="1" t="s">
        <v>26</v>
      </c>
      <c r="F173" s="1">
        <v>3</v>
      </c>
    </row>
    <row r="174" spans="1:9" hidden="1" x14ac:dyDescent="0.35">
      <c r="A174" s="1">
        <v>3</v>
      </c>
      <c r="B174" s="1">
        <f t="shared" si="4"/>
        <v>6421</v>
      </c>
      <c r="C174" s="1">
        <v>6459</v>
      </c>
      <c r="D174" s="1" t="s">
        <v>17</v>
      </c>
      <c r="E174" s="1" t="s">
        <v>14</v>
      </c>
      <c r="F174" s="1">
        <v>3</v>
      </c>
    </row>
    <row r="175" spans="1:9" hidden="1" x14ac:dyDescent="0.35">
      <c r="A175" s="1">
        <v>3</v>
      </c>
      <c r="B175" s="1">
        <f t="shared" si="4"/>
        <v>6459</v>
      </c>
      <c r="C175" s="1">
        <v>6592</v>
      </c>
      <c r="D175" s="1" t="s">
        <v>26</v>
      </c>
      <c r="F175" s="1">
        <v>3</v>
      </c>
    </row>
    <row r="176" spans="1:9" hidden="1" x14ac:dyDescent="0.35">
      <c r="A176" s="1">
        <v>3</v>
      </c>
      <c r="B176" s="1">
        <f t="shared" si="4"/>
        <v>6592</v>
      </c>
      <c r="C176" s="1">
        <v>6613</v>
      </c>
      <c r="D176" s="1" t="s">
        <v>17</v>
      </c>
      <c r="E176" s="1" t="s">
        <v>14</v>
      </c>
      <c r="F176" s="1">
        <v>3</v>
      </c>
    </row>
    <row r="177" spans="1:9" hidden="1" x14ac:dyDescent="0.35">
      <c r="A177" s="1">
        <v>3</v>
      </c>
      <c r="B177" s="6">
        <f t="shared" si="4"/>
        <v>6613</v>
      </c>
      <c r="C177" s="6">
        <v>6614</v>
      </c>
      <c r="D177" s="6" t="s">
        <v>12</v>
      </c>
      <c r="E177" s="6" t="s">
        <v>21</v>
      </c>
      <c r="F177" s="1">
        <v>3</v>
      </c>
      <c r="I177">
        <f t="shared" ref="I177:I178" si="6">C177-B177</f>
        <v>1</v>
      </c>
    </row>
    <row r="178" spans="1:9" hidden="1" x14ac:dyDescent="0.35">
      <c r="A178" s="2">
        <v>3</v>
      </c>
      <c r="B178" s="2">
        <f t="shared" ref="B178" si="7">C177</f>
        <v>6614</v>
      </c>
      <c r="C178" s="2">
        <v>6664</v>
      </c>
      <c r="D178" s="5" t="s">
        <v>12</v>
      </c>
      <c r="E178" s="5" t="s">
        <v>19</v>
      </c>
      <c r="F178" s="2">
        <v>4</v>
      </c>
      <c r="I178">
        <f t="shared" si="6"/>
        <v>50</v>
      </c>
    </row>
    <row r="179" spans="1:9" hidden="1" x14ac:dyDescent="0.35">
      <c r="A179" s="1">
        <v>4</v>
      </c>
      <c r="B179" s="1">
        <v>0</v>
      </c>
      <c r="C179" s="1">
        <v>36</v>
      </c>
      <c r="D179" s="1" t="s">
        <v>12</v>
      </c>
      <c r="E179" s="1" t="s">
        <v>14</v>
      </c>
      <c r="F179" s="1">
        <v>0</v>
      </c>
    </row>
    <row r="180" spans="1:9" hidden="1" x14ac:dyDescent="0.35">
      <c r="A180" s="1">
        <v>4</v>
      </c>
      <c r="B180" s="1">
        <v>36</v>
      </c>
      <c r="C180" s="1">
        <v>59</v>
      </c>
      <c r="D180" s="1" t="s">
        <v>15</v>
      </c>
      <c r="E180" s="1" t="s">
        <v>29</v>
      </c>
      <c r="F180" s="1">
        <v>0</v>
      </c>
    </row>
    <row r="181" spans="1:9" hidden="1" x14ac:dyDescent="0.35">
      <c r="A181" s="1">
        <v>4</v>
      </c>
      <c r="B181" s="1">
        <v>59</v>
      </c>
      <c r="C181" s="1">
        <v>99.999999999999986</v>
      </c>
      <c r="D181" s="1" t="s">
        <v>12</v>
      </c>
      <c r="E181" s="1" t="s">
        <v>14</v>
      </c>
      <c r="F181" s="1">
        <v>0</v>
      </c>
    </row>
    <row r="182" spans="1:9" hidden="1" x14ac:dyDescent="0.35">
      <c r="A182" s="1">
        <v>4</v>
      </c>
      <c r="B182" s="1">
        <v>99.999999999999986</v>
      </c>
      <c r="C182" s="1">
        <v>119</v>
      </c>
      <c r="D182" s="7" t="s">
        <v>31</v>
      </c>
      <c r="F182" s="1">
        <v>1</v>
      </c>
    </row>
    <row r="183" spans="1:9" hidden="1" x14ac:dyDescent="0.35">
      <c r="A183" s="1">
        <v>4</v>
      </c>
      <c r="B183" s="1">
        <v>119</v>
      </c>
      <c r="C183" s="1">
        <v>170.00000000000003</v>
      </c>
      <c r="D183" s="1" t="s">
        <v>22</v>
      </c>
      <c r="E183" s="1" t="s">
        <v>14</v>
      </c>
      <c r="F183" s="1">
        <v>1</v>
      </c>
    </row>
    <row r="184" spans="1:9" hidden="1" x14ac:dyDescent="0.35">
      <c r="A184" s="1">
        <v>4</v>
      </c>
      <c r="B184" s="1">
        <v>170.00000000000003</v>
      </c>
      <c r="C184" s="1">
        <v>191</v>
      </c>
      <c r="D184" s="1" t="s">
        <v>15</v>
      </c>
      <c r="E184" s="1" t="s">
        <v>29</v>
      </c>
      <c r="F184" s="1">
        <v>1</v>
      </c>
    </row>
    <row r="185" spans="1:9" hidden="1" x14ac:dyDescent="0.35">
      <c r="A185" s="1">
        <v>4</v>
      </c>
      <c r="B185" s="1">
        <v>191</v>
      </c>
      <c r="C185" s="1">
        <v>238</v>
      </c>
      <c r="D185" s="1" t="s">
        <v>22</v>
      </c>
      <c r="E185" s="1" t="s">
        <v>14</v>
      </c>
      <c r="F185" s="1">
        <v>1</v>
      </c>
    </row>
    <row r="186" spans="1:9" hidden="1" x14ac:dyDescent="0.35">
      <c r="A186" s="1">
        <v>4</v>
      </c>
      <c r="B186" s="1">
        <v>238</v>
      </c>
      <c r="C186" s="1">
        <v>241.99999999999997</v>
      </c>
      <c r="D186" s="1" t="s">
        <v>15</v>
      </c>
      <c r="E186" s="1" t="s">
        <v>29</v>
      </c>
      <c r="F186" s="1">
        <v>1</v>
      </c>
    </row>
    <row r="187" spans="1:9" hidden="1" x14ac:dyDescent="0.35">
      <c r="A187" s="1">
        <v>4</v>
      </c>
      <c r="B187" s="3">
        <v>241.99999999999997</v>
      </c>
      <c r="C187" s="3">
        <v>248.00000000000003</v>
      </c>
      <c r="D187" s="6" t="s">
        <v>12</v>
      </c>
      <c r="E187" s="3" t="s">
        <v>21</v>
      </c>
      <c r="F187" s="1">
        <v>1</v>
      </c>
      <c r="G187">
        <f>SUM(I187:I296)</f>
        <v>617.00000000000023</v>
      </c>
      <c r="I187">
        <f>C187-B187</f>
        <v>6.0000000000000568</v>
      </c>
    </row>
    <row r="188" spans="1:9" hidden="1" x14ac:dyDescent="0.35">
      <c r="A188" s="1">
        <v>4</v>
      </c>
      <c r="B188" s="1">
        <v>248.00000000000003</v>
      </c>
      <c r="C188" s="1">
        <v>281</v>
      </c>
      <c r="D188" s="1" t="s">
        <v>12</v>
      </c>
      <c r="E188" s="1" t="s">
        <v>14</v>
      </c>
      <c r="F188" s="1">
        <v>1</v>
      </c>
    </row>
    <row r="189" spans="1:9" hidden="1" x14ac:dyDescent="0.35">
      <c r="A189" s="1">
        <v>4</v>
      </c>
      <c r="B189" s="1">
        <v>281</v>
      </c>
      <c r="C189" s="1">
        <v>305</v>
      </c>
      <c r="D189" s="1" t="s">
        <v>15</v>
      </c>
      <c r="E189" s="1" t="s">
        <v>29</v>
      </c>
      <c r="F189" s="1">
        <v>1</v>
      </c>
    </row>
    <row r="190" spans="1:9" hidden="1" x14ac:dyDescent="0.35">
      <c r="A190" s="1">
        <v>4</v>
      </c>
      <c r="B190" s="1">
        <v>305</v>
      </c>
      <c r="C190" s="1">
        <v>359</v>
      </c>
      <c r="D190" s="7" t="s">
        <v>31</v>
      </c>
      <c r="F190" s="1">
        <v>2</v>
      </c>
    </row>
    <row r="191" spans="1:9" hidden="1" x14ac:dyDescent="0.35">
      <c r="A191" s="1">
        <v>4</v>
      </c>
      <c r="B191" s="1">
        <v>359</v>
      </c>
      <c r="C191" s="1">
        <v>392.99999999999994</v>
      </c>
      <c r="D191" s="1" t="s">
        <v>22</v>
      </c>
      <c r="E191" s="1" t="s">
        <v>14</v>
      </c>
      <c r="F191" s="1">
        <v>2</v>
      </c>
    </row>
    <row r="192" spans="1:9" hidden="1" x14ac:dyDescent="0.35">
      <c r="A192" s="1">
        <v>4</v>
      </c>
      <c r="B192" s="1">
        <v>392.99999999999994</v>
      </c>
      <c r="C192" s="1">
        <v>413</v>
      </c>
      <c r="D192" s="1" t="s">
        <v>15</v>
      </c>
      <c r="E192" s="1" t="s">
        <v>29</v>
      </c>
      <c r="F192" s="1">
        <v>2</v>
      </c>
    </row>
    <row r="193" spans="1:9" hidden="1" x14ac:dyDescent="0.35">
      <c r="A193" s="1">
        <v>4</v>
      </c>
      <c r="B193" s="1">
        <v>413</v>
      </c>
      <c r="C193" s="1">
        <v>445</v>
      </c>
      <c r="D193" s="1" t="s">
        <v>22</v>
      </c>
      <c r="E193" s="1" t="s">
        <v>14</v>
      </c>
      <c r="F193" s="1">
        <v>2</v>
      </c>
    </row>
    <row r="194" spans="1:9" hidden="1" x14ac:dyDescent="0.35">
      <c r="A194" s="1">
        <v>4</v>
      </c>
      <c r="B194" s="1">
        <v>445</v>
      </c>
      <c r="C194" s="1">
        <v>478</v>
      </c>
      <c r="D194" s="1" t="s">
        <v>15</v>
      </c>
      <c r="E194" s="1" t="s">
        <v>29</v>
      </c>
      <c r="F194" s="1">
        <v>2</v>
      </c>
    </row>
    <row r="195" spans="1:9" hidden="1" x14ac:dyDescent="0.35">
      <c r="A195" s="1">
        <v>4</v>
      </c>
      <c r="B195" s="1">
        <v>478</v>
      </c>
      <c r="C195" s="1">
        <v>523</v>
      </c>
      <c r="D195" s="1" t="s">
        <v>22</v>
      </c>
      <c r="E195" s="1" t="s">
        <v>14</v>
      </c>
      <c r="F195" s="1">
        <v>2</v>
      </c>
    </row>
    <row r="196" spans="1:9" hidden="1" x14ac:dyDescent="0.35">
      <c r="A196" s="1">
        <v>4</v>
      </c>
      <c r="B196" s="1">
        <v>523</v>
      </c>
      <c r="C196" s="1">
        <v>540</v>
      </c>
      <c r="D196" s="1" t="s">
        <v>15</v>
      </c>
      <c r="E196" s="1" t="s">
        <v>29</v>
      </c>
      <c r="F196" s="1">
        <v>2</v>
      </c>
    </row>
    <row r="197" spans="1:9" hidden="1" x14ac:dyDescent="0.35">
      <c r="A197" s="1">
        <v>4</v>
      </c>
      <c r="B197" s="1">
        <v>540</v>
      </c>
      <c r="C197" s="1">
        <v>570</v>
      </c>
      <c r="D197" s="1" t="s">
        <v>22</v>
      </c>
      <c r="E197" s="1" t="s">
        <v>14</v>
      </c>
      <c r="F197" s="1">
        <v>2</v>
      </c>
    </row>
    <row r="198" spans="1:9" hidden="1" x14ac:dyDescent="0.35">
      <c r="A198" s="1">
        <v>4</v>
      </c>
      <c r="B198" s="1">
        <v>570</v>
      </c>
      <c r="C198" s="1">
        <v>586.00000000000011</v>
      </c>
      <c r="D198" s="1" t="s">
        <v>15</v>
      </c>
      <c r="E198" s="1" t="s">
        <v>29</v>
      </c>
      <c r="F198" s="1">
        <v>2</v>
      </c>
    </row>
    <row r="199" spans="1:9" hidden="1" x14ac:dyDescent="0.35">
      <c r="A199" s="1">
        <v>4</v>
      </c>
      <c r="B199" s="1">
        <v>586.00000000000011</v>
      </c>
      <c r="C199" s="1">
        <v>618</v>
      </c>
      <c r="D199" s="1" t="s">
        <v>22</v>
      </c>
      <c r="E199" s="1" t="s">
        <v>14</v>
      </c>
      <c r="F199" s="1">
        <v>2</v>
      </c>
    </row>
    <row r="200" spans="1:9" hidden="1" x14ac:dyDescent="0.35">
      <c r="A200" s="1">
        <v>4</v>
      </c>
      <c r="B200" s="1">
        <v>618</v>
      </c>
      <c r="C200" s="1">
        <v>635.00000000000011</v>
      </c>
      <c r="D200" s="1" t="s">
        <v>15</v>
      </c>
      <c r="E200" s="1" t="s">
        <v>29</v>
      </c>
      <c r="F200" s="1">
        <v>2</v>
      </c>
    </row>
    <row r="201" spans="1:9" hidden="1" x14ac:dyDescent="0.35">
      <c r="A201" s="1">
        <v>4</v>
      </c>
      <c r="B201" s="4">
        <v>635.00000000000011</v>
      </c>
      <c r="C201" s="4">
        <v>642</v>
      </c>
      <c r="D201" s="7" t="s">
        <v>12</v>
      </c>
      <c r="E201" s="4" t="s">
        <v>19</v>
      </c>
      <c r="F201" s="1">
        <v>2</v>
      </c>
      <c r="I201">
        <f>C201-B201</f>
        <v>6.9999999999998863</v>
      </c>
    </row>
    <row r="202" spans="1:9" hidden="1" x14ac:dyDescent="0.35">
      <c r="A202" s="1">
        <v>4</v>
      </c>
      <c r="B202" s="1">
        <v>642</v>
      </c>
      <c r="C202" s="1">
        <v>679</v>
      </c>
      <c r="D202" s="1" t="s">
        <v>22</v>
      </c>
      <c r="E202" s="1" t="s">
        <v>14</v>
      </c>
      <c r="F202" s="1">
        <v>2</v>
      </c>
    </row>
    <row r="203" spans="1:9" hidden="1" x14ac:dyDescent="0.35">
      <c r="A203" s="1">
        <v>4</v>
      </c>
      <c r="B203" s="1">
        <v>679</v>
      </c>
      <c r="C203" s="1">
        <v>693</v>
      </c>
      <c r="D203" s="1" t="s">
        <v>15</v>
      </c>
      <c r="E203" s="1" t="s">
        <v>29</v>
      </c>
      <c r="F203" s="1">
        <v>2</v>
      </c>
    </row>
    <row r="204" spans="1:9" hidden="1" x14ac:dyDescent="0.35">
      <c r="A204" s="1">
        <v>4</v>
      </c>
      <c r="B204" s="1">
        <v>693</v>
      </c>
      <c r="C204" s="1">
        <v>736.99999999999989</v>
      </c>
      <c r="D204" s="1" t="s">
        <v>22</v>
      </c>
      <c r="E204" s="1" t="s">
        <v>14</v>
      </c>
      <c r="F204" s="1">
        <v>2</v>
      </c>
    </row>
    <row r="205" spans="1:9" hidden="1" x14ac:dyDescent="0.35">
      <c r="A205" s="1">
        <v>4</v>
      </c>
      <c r="B205" s="1">
        <v>736.99999999999989</v>
      </c>
      <c r="C205" s="1">
        <v>754</v>
      </c>
      <c r="D205" s="1" t="s">
        <v>15</v>
      </c>
      <c r="E205" s="1" t="s">
        <v>29</v>
      </c>
      <c r="F205" s="1">
        <v>2</v>
      </c>
    </row>
    <row r="206" spans="1:9" hidden="1" x14ac:dyDescent="0.35">
      <c r="A206" s="1">
        <v>4</v>
      </c>
      <c r="B206" s="1">
        <v>754</v>
      </c>
      <c r="C206" s="1">
        <v>777</v>
      </c>
      <c r="D206" s="1" t="s">
        <v>22</v>
      </c>
      <c r="E206" s="1" t="s">
        <v>14</v>
      </c>
      <c r="F206" s="1">
        <v>2</v>
      </c>
    </row>
    <row r="207" spans="1:9" hidden="1" x14ac:dyDescent="0.35">
      <c r="A207" s="1">
        <v>4</v>
      </c>
      <c r="B207" s="1">
        <v>777</v>
      </c>
      <c r="C207" s="1">
        <v>793.00000000000011</v>
      </c>
      <c r="D207" s="1" t="s">
        <v>15</v>
      </c>
      <c r="E207" s="1" t="s">
        <v>29</v>
      </c>
      <c r="F207" s="1">
        <v>2</v>
      </c>
    </row>
    <row r="208" spans="1:9" hidden="1" x14ac:dyDescent="0.35">
      <c r="A208" s="1">
        <v>4</v>
      </c>
      <c r="B208" s="1">
        <v>793.00000000000011</v>
      </c>
      <c r="C208" s="1">
        <v>819</v>
      </c>
      <c r="D208" s="1" t="s">
        <v>22</v>
      </c>
      <c r="E208" s="1" t="s">
        <v>14</v>
      </c>
      <c r="F208" s="1">
        <v>2</v>
      </c>
    </row>
    <row r="209" spans="1:9" hidden="1" x14ac:dyDescent="0.35">
      <c r="A209" s="1">
        <v>4</v>
      </c>
      <c r="B209" s="1">
        <v>819</v>
      </c>
      <c r="C209" s="1">
        <v>834.99999999999989</v>
      </c>
      <c r="D209" s="1" t="s">
        <v>15</v>
      </c>
      <c r="E209" s="1" t="s">
        <v>29</v>
      </c>
      <c r="F209" s="1">
        <v>2</v>
      </c>
    </row>
    <row r="210" spans="1:9" hidden="1" x14ac:dyDescent="0.35">
      <c r="A210" s="1">
        <v>4</v>
      </c>
      <c r="B210" s="1">
        <v>834.99999999999989</v>
      </c>
      <c r="C210" s="1">
        <v>879.00000000000011</v>
      </c>
      <c r="D210" s="1" t="s">
        <v>22</v>
      </c>
      <c r="E210" s="1" t="s">
        <v>14</v>
      </c>
      <c r="F210" s="1">
        <v>2</v>
      </c>
    </row>
    <row r="211" spans="1:9" hidden="1" x14ac:dyDescent="0.35">
      <c r="A211" s="1">
        <v>4</v>
      </c>
      <c r="B211" s="1">
        <v>879.00000000000011</v>
      </c>
      <c r="C211" s="1">
        <v>898</v>
      </c>
      <c r="D211" s="1" t="s">
        <v>15</v>
      </c>
      <c r="E211" s="1" t="s">
        <v>29</v>
      </c>
      <c r="F211" s="1">
        <v>2</v>
      </c>
    </row>
    <row r="212" spans="1:9" hidden="1" x14ac:dyDescent="0.35">
      <c r="A212" s="1">
        <v>4</v>
      </c>
      <c r="B212" s="1">
        <v>898</v>
      </c>
      <c r="C212" s="1">
        <v>943</v>
      </c>
      <c r="D212" s="1" t="s">
        <v>22</v>
      </c>
      <c r="E212" s="1" t="s">
        <v>14</v>
      </c>
      <c r="F212" s="1">
        <v>2</v>
      </c>
    </row>
    <row r="213" spans="1:9" hidden="1" x14ac:dyDescent="0.35">
      <c r="A213" s="1">
        <v>4</v>
      </c>
      <c r="B213" s="1">
        <v>943</v>
      </c>
      <c r="C213" s="1">
        <v>962.00000000000011</v>
      </c>
      <c r="D213" s="1" t="s">
        <v>15</v>
      </c>
      <c r="E213" s="1" t="s">
        <v>29</v>
      </c>
      <c r="F213" s="1">
        <v>2</v>
      </c>
    </row>
    <row r="214" spans="1:9" hidden="1" x14ac:dyDescent="0.35">
      <c r="A214" s="1">
        <v>4</v>
      </c>
      <c r="B214" s="1">
        <v>962.00000000000011</v>
      </c>
      <c r="C214" s="1">
        <v>823</v>
      </c>
      <c r="D214" s="1" t="s">
        <v>22</v>
      </c>
      <c r="E214" s="1" t="s">
        <v>14</v>
      </c>
      <c r="F214" s="1">
        <v>2</v>
      </c>
    </row>
    <row r="215" spans="1:9" hidden="1" x14ac:dyDescent="0.35">
      <c r="A215" s="1">
        <v>4</v>
      </c>
      <c r="B215" s="1">
        <v>823</v>
      </c>
      <c r="C215" s="1">
        <v>1020</v>
      </c>
      <c r="D215" s="1" t="s">
        <v>15</v>
      </c>
      <c r="E215" s="1" t="s">
        <v>29</v>
      </c>
      <c r="F215" s="1">
        <v>2</v>
      </c>
    </row>
    <row r="216" spans="1:9" hidden="1" x14ac:dyDescent="0.35">
      <c r="A216" s="1">
        <v>4</v>
      </c>
      <c r="B216" s="1">
        <v>1020</v>
      </c>
      <c r="C216" s="1">
        <v>1060</v>
      </c>
      <c r="D216" s="1" t="s">
        <v>22</v>
      </c>
      <c r="E216" s="1" t="s">
        <v>14</v>
      </c>
      <c r="F216" s="1">
        <v>2</v>
      </c>
    </row>
    <row r="217" spans="1:9" hidden="1" x14ac:dyDescent="0.35">
      <c r="A217" s="1">
        <v>4</v>
      </c>
      <c r="B217" s="1">
        <v>1060</v>
      </c>
      <c r="C217" s="1">
        <v>1077.9999999999998</v>
      </c>
      <c r="D217" s="1" t="s">
        <v>15</v>
      </c>
      <c r="E217" s="1" t="s">
        <v>29</v>
      </c>
      <c r="F217" s="1">
        <v>2</v>
      </c>
    </row>
    <row r="218" spans="1:9" hidden="1" x14ac:dyDescent="0.35">
      <c r="A218" s="1">
        <v>4</v>
      </c>
      <c r="B218" s="1">
        <v>1077.9999999999998</v>
      </c>
      <c r="C218" s="1">
        <v>1111</v>
      </c>
      <c r="D218" s="1" t="s">
        <v>22</v>
      </c>
      <c r="E218" s="1" t="s">
        <v>14</v>
      </c>
      <c r="F218" s="1">
        <v>2</v>
      </c>
    </row>
    <row r="219" spans="1:9" hidden="1" x14ac:dyDescent="0.35">
      <c r="A219" s="1">
        <v>4</v>
      </c>
      <c r="B219" s="1">
        <v>1111</v>
      </c>
      <c r="C219" s="1">
        <v>1128</v>
      </c>
      <c r="D219" s="1" t="s">
        <v>15</v>
      </c>
      <c r="E219" s="1" t="s">
        <v>29</v>
      </c>
      <c r="F219" s="1">
        <v>2</v>
      </c>
    </row>
    <row r="220" spans="1:9" hidden="1" x14ac:dyDescent="0.35">
      <c r="A220" s="1">
        <v>4</v>
      </c>
      <c r="B220" s="1">
        <v>1128</v>
      </c>
      <c r="C220" s="1">
        <v>1169</v>
      </c>
      <c r="D220" s="1" t="s">
        <v>22</v>
      </c>
      <c r="E220" s="1" t="s">
        <v>14</v>
      </c>
      <c r="F220" s="1">
        <v>2</v>
      </c>
    </row>
    <row r="221" spans="1:9" hidden="1" x14ac:dyDescent="0.35">
      <c r="A221" s="1">
        <v>4</v>
      </c>
      <c r="B221" s="1">
        <v>1169</v>
      </c>
      <c r="C221" s="1">
        <v>1188</v>
      </c>
      <c r="D221" s="1" t="s">
        <v>15</v>
      </c>
      <c r="E221" s="1" t="s">
        <v>29</v>
      </c>
      <c r="F221" s="1">
        <v>2</v>
      </c>
    </row>
    <row r="222" spans="1:9" hidden="1" x14ac:dyDescent="0.35">
      <c r="A222" s="1">
        <v>4</v>
      </c>
      <c r="B222" s="3">
        <v>1188</v>
      </c>
      <c r="C222" s="3">
        <v>1201</v>
      </c>
      <c r="D222" s="3" t="s">
        <v>12</v>
      </c>
      <c r="E222" s="3" t="s">
        <v>21</v>
      </c>
      <c r="F222" s="1">
        <v>2</v>
      </c>
      <c r="I222">
        <f>C222-B222</f>
        <v>13</v>
      </c>
    </row>
    <row r="223" spans="1:9" hidden="1" x14ac:dyDescent="0.35">
      <c r="A223" s="1">
        <v>4</v>
      </c>
      <c r="B223" s="1">
        <v>1201</v>
      </c>
      <c r="C223" s="1">
        <v>1240</v>
      </c>
      <c r="D223" s="1" t="s">
        <v>12</v>
      </c>
      <c r="E223" s="1" t="s">
        <v>14</v>
      </c>
      <c r="F223" s="1">
        <v>2</v>
      </c>
    </row>
    <row r="224" spans="1:9" hidden="1" x14ac:dyDescent="0.35">
      <c r="A224" s="1">
        <v>4</v>
      </c>
      <c r="B224" s="1">
        <v>1240</v>
      </c>
      <c r="C224" s="1">
        <v>1260</v>
      </c>
      <c r="D224" s="1" t="s">
        <v>15</v>
      </c>
      <c r="E224" s="1" t="s">
        <v>29</v>
      </c>
      <c r="F224" s="1">
        <v>2</v>
      </c>
    </row>
    <row r="225" spans="1:9" hidden="1" x14ac:dyDescent="0.35">
      <c r="A225" s="1">
        <v>4</v>
      </c>
      <c r="B225" s="1">
        <v>1260</v>
      </c>
      <c r="C225" s="1">
        <v>1292</v>
      </c>
      <c r="D225" s="7" t="s">
        <v>31</v>
      </c>
      <c r="F225" s="1">
        <v>3</v>
      </c>
    </row>
    <row r="226" spans="1:9" hidden="1" x14ac:dyDescent="0.35">
      <c r="A226" s="1">
        <v>4</v>
      </c>
      <c r="B226" s="3">
        <v>1292</v>
      </c>
      <c r="C226" s="3">
        <v>1315.0000000000002</v>
      </c>
      <c r="D226" s="3" t="s">
        <v>12</v>
      </c>
      <c r="E226" s="3" t="s">
        <v>21</v>
      </c>
      <c r="F226" s="1">
        <v>3</v>
      </c>
      <c r="I226">
        <f>C226-B226</f>
        <v>23.000000000000227</v>
      </c>
    </row>
    <row r="227" spans="1:9" hidden="1" x14ac:dyDescent="0.35">
      <c r="A227" s="1">
        <v>4</v>
      </c>
      <c r="B227" s="1">
        <v>1315.0000000000002</v>
      </c>
      <c r="C227" s="1">
        <v>1353</v>
      </c>
      <c r="D227" s="1" t="s">
        <v>12</v>
      </c>
      <c r="E227" s="1" t="s">
        <v>14</v>
      </c>
      <c r="F227" s="1">
        <v>3</v>
      </c>
    </row>
    <row r="228" spans="1:9" hidden="1" x14ac:dyDescent="0.35">
      <c r="A228" s="1">
        <v>4</v>
      </c>
      <c r="B228" s="1">
        <v>1353</v>
      </c>
      <c r="C228" s="1">
        <v>1378</v>
      </c>
      <c r="D228" s="1" t="s">
        <v>15</v>
      </c>
      <c r="E228" s="1" t="s">
        <v>29</v>
      </c>
      <c r="F228" s="1">
        <v>3</v>
      </c>
    </row>
    <row r="229" spans="1:9" hidden="1" x14ac:dyDescent="0.35">
      <c r="A229" s="1">
        <v>4</v>
      </c>
      <c r="B229" s="1">
        <v>1378</v>
      </c>
      <c r="C229" s="1">
        <v>1488.0000000000002</v>
      </c>
      <c r="D229" s="7" t="s">
        <v>31</v>
      </c>
      <c r="E229" s="8"/>
      <c r="F229" s="1">
        <v>4</v>
      </c>
    </row>
    <row r="230" spans="1:9" hidden="1" x14ac:dyDescent="0.35">
      <c r="A230" s="1">
        <v>4</v>
      </c>
      <c r="B230" s="1">
        <v>1488.0000000000002</v>
      </c>
      <c r="C230" s="1">
        <v>1749</v>
      </c>
      <c r="D230" s="8"/>
      <c r="E230" s="8"/>
      <c r="F230" s="1">
        <v>4</v>
      </c>
    </row>
    <row r="231" spans="1:9" hidden="1" x14ac:dyDescent="0.35">
      <c r="A231" s="1">
        <v>4</v>
      </c>
      <c r="B231" s="1">
        <v>1749</v>
      </c>
      <c r="C231" s="1">
        <v>1784</v>
      </c>
      <c r="D231" s="1" t="s">
        <v>22</v>
      </c>
      <c r="E231" s="1" t="s">
        <v>14</v>
      </c>
      <c r="F231" s="1">
        <v>4</v>
      </c>
    </row>
    <row r="232" spans="1:9" hidden="1" x14ac:dyDescent="0.35">
      <c r="A232" s="1">
        <v>4</v>
      </c>
      <c r="B232" s="1">
        <v>1784</v>
      </c>
      <c r="C232" s="1">
        <v>1804</v>
      </c>
      <c r="D232" s="1" t="s">
        <v>15</v>
      </c>
      <c r="E232" s="1" t="s">
        <v>29</v>
      </c>
      <c r="F232" s="1">
        <v>4</v>
      </c>
    </row>
    <row r="233" spans="1:9" hidden="1" x14ac:dyDescent="0.35">
      <c r="A233" s="1">
        <v>4</v>
      </c>
      <c r="B233" s="4">
        <v>1804</v>
      </c>
      <c r="C233" s="4">
        <v>1837</v>
      </c>
      <c r="D233" s="4" t="s">
        <v>12</v>
      </c>
      <c r="E233" s="4" t="s">
        <v>19</v>
      </c>
      <c r="F233" s="1">
        <v>4</v>
      </c>
      <c r="I233">
        <f>C233-B233</f>
        <v>33</v>
      </c>
    </row>
    <row r="234" spans="1:9" x14ac:dyDescent="0.35">
      <c r="A234" s="1">
        <v>4</v>
      </c>
      <c r="B234" s="1">
        <v>1837</v>
      </c>
      <c r="C234" s="1">
        <v>2051</v>
      </c>
      <c r="D234" s="1" t="s">
        <v>22</v>
      </c>
      <c r="E234" s="1" t="s">
        <v>18</v>
      </c>
      <c r="F234" s="1">
        <v>4</v>
      </c>
    </row>
    <row r="235" spans="1:9" hidden="1" x14ac:dyDescent="0.35">
      <c r="A235" s="1">
        <v>4</v>
      </c>
      <c r="B235" s="1">
        <v>2051</v>
      </c>
      <c r="C235" s="1">
        <v>2110</v>
      </c>
      <c r="D235" s="1" t="s">
        <v>22</v>
      </c>
      <c r="E235" s="1" t="s">
        <v>14</v>
      </c>
      <c r="F235" s="1">
        <v>4</v>
      </c>
    </row>
    <row r="236" spans="1:9" hidden="1" x14ac:dyDescent="0.35">
      <c r="A236" s="1">
        <v>4</v>
      </c>
      <c r="B236" s="1">
        <v>2110</v>
      </c>
      <c r="C236" s="1">
        <v>2134</v>
      </c>
      <c r="D236" s="1" t="s">
        <v>15</v>
      </c>
      <c r="E236" s="1" t="s">
        <v>29</v>
      </c>
      <c r="F236" s="1">
        <v>4</v>
      </c>
    </row>
    <row r="237" spans="1:9" hidden="1" x14ac:dyDescent="0.35">
      <c r="A237" s="1">
        <v>4</v>
      </c>
      <c r="B237" s="1">
        <v>2134</v>
      </c>
      <c r="C237" s="1">
        <v>2216</v>
      </c>
      <c r="D237" s="1" t="s">
        <v>22</v>
      </c>
      <c r="E237" s="1" t="s">
        <v>14</v>
      </c>
      <c r="F237" s="1">
        <v>4</v>
      </c>
    </row>
    <row r="238" spans="1:9" hidden="1" x14ac:dyDescent="0.35">
      <c r="A238" s="1">
        <v>4</v>
      </c>
      <c r="B238" s="1">
        <v>2216</v>
      </c>
      <c r="C238" s="1">
        <v>2240</v>
      </c>
      <c r="D238" s="1" t="s">
        <v>15</v>
      </c>
      <c r="E238" s="1" t="s">
        <v>29</v>
      </c>
      <c r="F238" s="1">
        <v>4</v>
      </c>
    </row>
    <row r="239" spans="1:9" hidden="1" x14ac:dyDescent="0.35">
      <c r="A239" s="1">
        <v>4</v>
      </c>
      <c r="B239" s="1">
        <v>2240</v>
      </c>
      <c r="C239" s="1">
        <v>2333</v>
      </c>
      <c r="D239" s="1" t="s">
        <v>22</v>
      </c>
      <c r="E239" s="1" t="s">
        <v>14</v>
      </c>
      <c r="F239" s="1">
        <v>4</v>
      </c>
    </row>
    <row r="240" spans="1:9" hidden="1" x14ac:dyDescent="0.35">
      <c r="A240" s="1">
        <v>4</v>
      </c>
      <c r="B240" s="1">
        <v>2333</v>
      </c>
      <c r="C240" s="1">
        <v>2352.0000000000005</v>
      </c>
      <c r="D240" s="1" t="s">
        <v>15</v>
      </c>
      <c r="E240" s="1" t="s">
        <v>29</v>
      </c>
      <c r="F240" s="1">
        <v>4</v>
      </c>
    </row>
    <row r="241" spans="1:9" hidden="1" x14ac:dyDescent="0.35">
      <c r="A241" s="1">
        <v>4</v>
      </c>
      <c r="B241" s="1">
        <v>2352.0000000000005</v>
      </c>
      <c r="C241" s="1">
        <v>2417</v>
      </c>
      <c r="D241" s="1" t="s">
        <v>22</v>
      </c>
      <c r="E241" s="1" t="s">
        <v>14</v>
      </c>
      <c r="F241" s="1">
        <v>4</v>
      </c>
    </row>
    <row r="242" spans="1:9" hidden="1" x14ac:dyDescent="0.35">
      <c r="A242" s="1">
        <v>4</v>
      </c>
      <c r="B242" s="1">
        <v>2417</v>
      </c>
      <c r="C242" s="1">
        <v>2438</v>
      </c>
      <c r="D242" s="1" t="s">
        <v>15</v>
      </c>
      <c r="E242" s="1" t="s">
        <v>29</v>
      </c>
      <c r="F242" s="1">
        <v>4</v>
      </c>
    </row>
    <row r="243" spans="1:9" hidden="1" x14ac:dyDescent="0.35">
      <c r="A243" s="1">
        <v>4</v>
      </c>
      <c r="B243" s="1">
        <v>2438</v>
      </c>
      <c r="C243" s="1">
        <v>2497</v>
      </c>
      <c r="D243" s="1" t="s">
        <v>22</v>
      </c>
      <c r="E243" s="1" t="s">
        <v>14</v>
      </c>
      <c r="F243" s="1">
        <v>4</v>
      </c>
    </row>
    <row r="244" spans="1:9" hidden="1" x14ac:dyDescent="0.35">
      <c r="A244" s="1">
        <v>4</v>
      </c>
      <c r="B244" s="1">
        <v>2497</v>
      </c>
      <c r="C244" s="1">
        <v>2518</v>
      </c>
      <c r="D244" s="1" t="s">
        <v>15</v>
      </c>
      <c r="E244" s="1" t="s">
        <v>29</v>
      </c>
      <c r="F244" s="1">
        <v>4</v>
      </c>
    </row>
    <row r="245" spans="1:9" hidden="1" x14ac:dyDescent="0.35">
      <c r="A245" s="1">
        <v>4</v>
      </c>
      <c r="B245" s="1">
        <v>2518</v>
      </c>
      <c r="C245" s="1">
        <v>2600</v>
      </c>
      <c r="D245" s="1" t="s">
        <v>22</v>
      </c>
      <c r="E245" s="1" t="s">
        <v>14</v>
      </c>
      <c r="F245" s="1">
        <v>4</v>
      </c>
    </row>
    <row r="246" spans="1:9" hidden="1" x14ac:dyDescent="0.35">
      <c r="A246" s="1">
        <v>4</v>
      </c>
      <c r="B246" s="1">
        <v>2600</v>
      </c>
      <c r="C246" s="1">
        <v>2616</v>
      </c>
      <c r="D246" s="1" t="s">
        <v>15</v>
      </c>
      <c r="E246" s="1" t="s">
        <v>29</v>
      </c>
      <c r="F246" s="1">
        <v>4</v>
      </c>
    </row>
    <row r="247" spans="1:9" hidden="1" x14ac:dyDescent="0.35">
      <c r="A247" s="1">
        <v>4</v>
      </c>
      <c r="B247" s="1">
        <v>2616</v>
      </c>
      <c r="C247" s="1">
        <v>2712.0000000000005</v>
      </c>
      <c r="D247" s="1" t="s">
        <v>22</v>
      </c>
      <c r="E247" s="1" t="s">
        <v>14</v>
      </c>
      <c r="F247" s="1">
        <v>4</v>
      </c>
    </row>
    <row r="248" spans="1:9" hidden="1" x14ac:dyDescent="0.35">
      <c r="A248" s="1">
        <v>4</v>
      </c>
      <c r="B248" s="1">
        <v>2712.0000000000005</v>
      </c>
      <c r="C248" s="1">
        <v>2730</v>
      </c>
      <c r="D248" s="1" t="s">
        <v>15</v>
      </c>
      <c r="E248" s="1" t="s">
        <v>29</v>
      </c>
      <c r="F248" s="1">
        <v>4</v>
      </c>
    </row>
    <row r="249" spans="1:9" hidden="1" x14ac:dyDescent="0.35">
      <c r="A249" s="1">
        <v>4</v>
      </c>
      <c r="B249" s="4">
        <v>2730</v>
      </c>
      <c r="C249" s="4">
        <v>2760</v>
      </c>
      <c r="D249" s="7" t="s">
        <v>12</v>
      </c>
      <c r="E249" s="4" t="s">
        <v>19</v>
      </c>
      <c r="F249" s="1">
        <v>4</v>
      </c>
      <c r="I249">
        <f>C249-B249</f>
        <v>30</v>
      </c>
    </row>
    <row r="250" spans="1:9" hidden="1" x14ac:dyDescent="0.35">
      <c r="A250" s="1">
        <v>4</v>
      </c>
      <c r="B250" s="1">
        <v>2760</v>
      </c>
      <c r="C250" s="1">
        <v>2907.0000000000005</v>
      </c>
      <c r="D250" s="1" t="s">
        <v>22</v>
      </c>
      <c r="E250" s="1" t="s">
        <v>14</v>
      </c>
      <c r="F250" s="1">
        <v>4</v>
      </c>
    </row>
    <row r="251" spans="1:9" hidden="1" x14ac:dyDescent="0.35">
      <c r="A251" s="1">
        <v>4</v>
      </c>
      <c r="B251" s="1">
        <v>2907.0000000000005</v>
      </c>
      <c r="C251" s="1">
        <v>2932</v>
      </c>
      <c r="D251" s="1" t="s">
        <v>15</v>
      </c>
      <c r="E251" s="1" t="s">
        <v>29</v>
      </c>
      <c r="F251" s="1">
        <v>4</v>
      </c>
    </row>
    <row r="252" spans="1:9" hidden="1" x14ac:dyDescent="0.35">
      <c r="A252" s="1">
        <v>4</v>
      </c>
      <c r="B252" s="4">
        <v>2932</v>
      </c>
      <c r="C252" s="4">
        <v>2994</v>
      </c>
      <c r="D252" s="7" t="s">
        <v>12</v>
      </c>
      <c r="E252" s="4" t="s">
        <v>19</v>
      </c>
      <c r="F252" s="1">
        <v>4</v>
      </c>
      <c r="I252">
        <f>C252-B252</f>
        <v>62</v>
      </c>
    </row>
    <row r="253" spans="1:9" hidden="1" x14ac:dyDescent="0.35">
      <c r="A253" s="1">
        <v>4</v>
      </c>
      <c r="B253" s="1">
        <v>2994</v>
      </c>
      <c r="C253" s="1">
        <v>3013.0000000000005</v>
      </c>
      <c r="D253" s="1" t="s">
        <v>22</v>
      </c>
      <c r="E253" s="1" t="s">
        <v>14</v>
      </c>
      <c r="F253" s="1">
        <v>4</v>
      </c>
    </row>
    <row r="254" spans="1:9" x14ac:dyDescent="0.35">
      <c r="A254" s="1">
        <v>4</v>
      </c>
      <c r="B254" s="1">
        <v>3013.0000000000005</v>
      </c>
      <c r="C254" s="1">
        <v>3019</v>
      </c>
      <c r="D254" s="1" t="s">
        <v>22</v>
      </c>
      <c r="E254" s="1" t="s">
        <v>18</v>
      </c>
      <c r="F254" s="1">
        <v>4</v>
      </c>
    </row>
    <row r="255" spans="1:9" hidden="1" x14ac:dyDescent="0.35">
      <c r="A255" s="1">
        <v>4</v>
      </c>
      <c r="B255" s="1">
        <v>3019</v>
      </c>
      <c r="C255" s="1">
        <v>3143.9999999999995</v>
      </c>
      <c r="D255" s="1" t="s">
        <v>22</v>
      </c>
      <c r="E255" s="1" t="s">
        <v>14</v>
      </c>
      <c r="F255" s="1">
        <v>4</v>
      </c>
    </row>
    <row r="256" spans="1:9" hidden="1" x14ac:dyDescent="0.35">
      <c r="A256" s="1">
        <v>4</v>
      </c>
      <c r="B256" s="1">
        <v>3143.9999999999995</v>
      </c>
      <c r="C256" s="1">
        <v>3172.9999999999995</v>
      </c>
      <c r="D256" s="1" t="s">
        <v>15</v>
      </c>
      <c r="E256" s="1" t="s">
        <v>29</v>
      </c>
      <c r="F256" s="1">
        <v>4</v>
      </c>
    </row>
    <row r="257" spans="1:9" hidden="1" x14ac:dyDescent="0.35">
      <c r="A257" s="1">
        <v>4</v>
      </c>
      <c r="B257" s="1">
        <v>3172.9999999999995</v>
      </c>
      <c r="C257" s="1">
        <v>3296</v>
      </c>
      <c r="D257" s="1" t="s">
        <v>22</v>
      </c>
      <c r="E257" s="1" t="s">
        <v>14</v>
      </c>
      <c r="F257" s="1">
        <v>4</v>
      </c>
    </row>
    <row r="258" spans="1:9" hidden="1" x14ac:dyDescent="0.35">
      <c r="A258" s="1">
        <v>4</v>
      </c>
      <c r="B258" s="1">
        <v>3296</v>
      </c>
      <c r="C258" s="1">
        <v>3317</v>
      </c>
      <c r="D258" s="1" t="s">
        <v>15</v>
      </c>
      <c r="E258" s="1" t="s">
        <v>29</v>
      </c>
      <c r="F258" s="1">
        <v>4</v>
      </c>
    </row>
    <row r="259" spans="1:9" hidden="1" x14ac:dyDescent="0.35">
      <c r="A259" s="1">
        <v>4</v>
      </c>
      <c r="B259" s="1">
        <v>3317</v>
      </c>
      <c r="C259" s="1">
        <v>3437.9999999999995</v>
      </c>
      <c r="D259" s="1" t="s">
        <v>22</v>
      </c>
      <c r="E259" s="1" t="s">
        <v>14</v>
      </c>
      <c r="F259" s="1">
        <v>4</v>
      </c>
    </row>
    <row r="260" spans="1:9" hidden="1" x14ac:dyDescent="0.35">
      <c r="A260" s="1">
        <v>4</v>
      </c>
      <c r="B260" s="1">
        <v>3437.9999999999995</v>
      </c>
      <c r="C260" s="1">
        <v>3461</v>
      </c>
      <c r="D260" s="1" t="s">
        <v>15</v>
      </c>
      <c r="E260" s="1" t="s">
        <v>29</v>
      </c>
      <c r="F260" s="1">
        <v>4</v>
      </c>
    </row>
    <row r="261" spans="1:9" hidden="1" x14ac:dyDescent="0.35">
      <c r="A261" s="1">
        <v>4</v>
      </c>
      <c r="B261" s="1">
        <v>3461</v>
      </c>
      <c r="C261" s="1">
        <v>3575</v>
      </c>
      <c r="D261" s="1" t="s">
        <v>22</v>
      </c>
      <c r="E261" s="1" t="s">
        <v>14</v>
      </c>
      <c r="F261" s="1">
        <v>4</v>
      </c>
    </row>
    <row r="262" spans="1:9" hidden="1" x14ac:dyDescent="0.35">
      <c r="A262" s="1">
        <v>4</v>
      </c>
      <c r="B262" s="1">
        <v>3575</v>
      </c>
      <c r="C262" s="1">
        <v>3595</v>
      </c>
      <c r="D262" s="1" t="s">
        <v>15</v>
      </c>
      <c r="E262" s="1" t="s">
        <v>29</v>
      </c>
      <c r="F262" s="1">
        <v>4</v>
      </c>
    </row>
    <row r="263" spans="1:9" hidden="1" x14ac:dyDescent="0.35">
      <c r="A263" s="1">
        <v>4</v>
      </c>
      <c r="B263" s="1">
        <v>3595</v>
      </c>
      <c r="C263" s="1">
        <v>3667</v>
      </c>
      <c r="D263" s="1" t="s">
        <v>15</v>
      </c>
      <c r="E263" s="1" t="s">
        <v>29</v>
      </c>
      <c r="F263" s="1">
        <v>4</v>
      </c>
    </row>
    <row r="264" spans="1:9" hidden="1" x14ac:dyDescent="0.35">
      <c r="A264" s="1">
        <v>4</v>
      </c>
      <c r="B264" s="4">
        <f>C263</f>
        <v>3667</v>
      </c>
      <c r="C264" s="4">
        <v>3683</v>
      </c>
      <c r="D264" s="4" t="s">
        <v>12</v>
      </c>
      <c r="E264" s="4" t="s">
        <v>19</v>
      </c>
      <c r="F264" s="1">
        <v>4</v>
      </c>
      <c r="I264">
        <f>C264-B264</f>
        <v>16</v>
      </c>
    </row>
    <row r="265" spans="1:9" hidden="1" x14ac:dyDescent="0.35">
      <c r="A265" s="1">
        <v>4</v>
      </c>
      <c r="B265" s="1">
        <f t="shared" ref="B265:B292" si="8">C264</f>
        <v>3683</v>
      </c>
      <c r="C265" s="1">
        <v>3772</v>
      </c>
      <c r="D265" s="1" t="s">
        <v>22</v>
      </c>
      <c r="E265" s="1" t="s">
        <v>14</v>
      </c>
      <c r="F265" s="1">
        <v>4</v>
      </c>
    </row>
    <row r="266" spans="1:9" hidden="1" x14ac:dyDescent="0.35">
      <c r="A266" s="1">
        <v>4</v>
      </c>
      <c r="B266" s="1">
        <f t="shared" si="8"/>
        <v>3772</v>
      </c>
      <c r="C266" s="1">
        <v>3810</v>
      </c>
      <c r="D266" s="1" t="s">
        <v>15</v>
      </c>
      <c r="E266" s="1" t="s">
        <v>29</v>
      </c>
      <c r="F266" s="1">
        <v>4</v>
      </c>
    </row>
    <row r="267" spans="1:9" hidden="1" x14ac:dyDescent="0.35">
      <c r="A267" s="1">
        <v>4</v>
      </c>
      <c r="B267" s="4">
        <f t="shared" si="8"/>
        <v>3810</v>
      </c>
      <c r="C267" s="4">
        <v>3946</v>
      </c>
      <c r="D267" s="7" t="s">
        <v>12</v>
      </c>
      <c r="E267" s="4" t="s">
        <v>19</v>
      </c>
      <c r="F267" s="1">
        <v>4</v>
      </c>
      <c r="I267">
        <f>C267-B267</f>
        <v>136</v>
      </c>
    </row>
    <row r="268" spans="1:9" hidden="1" x14ac:dyDescent="0.35">
      <c r="A268" s="1">
        <v>4</v>
      </c>
      <c r="B268" s="1">
        <f t="shared" si="8"/>
        <v>3946</v>
      </c>
      <c r="C268" s="1">
        <v>3973</v>
      </c>
      <c r="D268" s="1" t="s">
        <v>22</v>
      </c>
      <c r="E268" s="1" t="s">
        <v>14</v>
      </c>
      <c r="F268" s="1">
        <v>4</v>
      </c>
    </row>
    <row r="269" spans="1:9" hidden="1" x14ac:dyDescent="0.35">
      <c r="A269" s="1">
        <v>4</v>
      </c>
      <c r="B269" s="1">
        <f t="shared" si="8"/>
        <v>3973</v>
      </c>
      <c r="C269" s="1">
        <v>4004</v>
      </c>
      <c r="D269" s="1" t="s">
        <v>15</v>
      </c>
      <c r="E269" s="1" t="s">
        <v>29</v>
      </c>
      <c r="F269" s="1">
        <v>4</v>
      </c>
    </row>
    <row r="270" spans="1:9" x14ac:dyDescent="0.35">
      <c r="A270" s="1">
        <v>4</v>
      </c>
      <c r="B270" s="1">
        <f t="shared" si="8"/>
        <v>4004</v>
      </c>
      <c r="C270" s="1">
        <v>4054</v>
      </c>
      <c r="D270" s="1" t="s">
        <v>22</v>
      </c>
      <c r="E270" s="1" t="s">
        <v>18</v>
      </c>
      <c r="F270" s="1">
        <v>4</v>
      </c>
    </row>
    <row r="271" spans="1:9" hidden="1" x14ac:dyDescent="0.35">
      <c r="A271" s="1">
        <v>4</v>
      </c>
      <c r="B271" s="1">
        <f t="shared" si="8"/>
        <v>4054</v>
      </c>
      <c r="C271" s="1">
        <v>4071</v>
      </c>
      <c r="D271" s="1" t="s">
        <v>22</v>
      </c>
      <c r="E271" s="1" t="s">
        <v>14</v>
      </c>
      <c r="F271" s="1">
        <v>4</v>
      </c>
    </row>
    <row r="272" spans="1:9" hidden="1" x14ac:dyDescent="0.35">
      <c r="A272" s="1">
        <v>4</v>
      </c>
      <c r="B272" s="1">
        <f t="shared" si="8"/>
        <v>4071</v>
      </c>
      <c r="C272" s="1">
        <v>4179</v>
      </c>
      <c r="D272" s="1" t="s">
        <v>15</v>
      </c>
      <c r="E272" s="1" t="s">
        <v>29</v>
      </c>
      <c r="F272" s="1">
        <v>4</v>
      </c>
    </row>
    <row r="273" spans="1:9" hidden="1" x14ac:dyDescent="0.35">
      <c r="A273" s="1">
        <v>4</v>
      </c>
      <c r="B273" s="1">
        <f t="shared" si="8"/>
        <v>4179</v>
      </c>
      <c r="C273" s="1">
        <v>4326</v>
      </c>
      <c r="D273" s="1" t="s">
        <v>22</v>
      </c>
      <c r="E273" s="1" t="s">
        <v>14</v>
      </c>
      <c r="F273" s="1">
        <v>4</v>
      </c>
    </row>
    <row r="274" spans="1:9" hidden="1" x14ac:dyDescent="0.35">
      <c r="A274" s="1">
        <v>4</v>
      </c>
      <c r="B274" s="4">
        <f t="shared" si="8"/>
        <v>4326</v>
      </c>
      <c r="C274" s="4">
        <v>4391</v>
      </c>
      <c r="D274" s="4" t="s">
        <v>12</v>
      </c>
      <c r="E274" s="4" t="s">
        <v>19</v>
      </c>
      <c r="F274" s="1">
        <v>4</v>
      </c>
      <c r="I274">
        <f>C274-B274</f>
        <v>65</v>
      </c>
    </row>
    <row r="275" spans="1:9" hidden="1" x14ac:dyDescent="0.35">
      <c r="A275" s="1">
        <v>4</v>
      </c>
      <c r="B275" s="1">
        <f t="shared" si="8"/>
        <v>4391</v>
      </c>
      <c r="C275" s="1">
        <v>4446</v>
      </c>
      <c r="D275" s="1" t="s">
        <v>15</v>
      </c>
      <c r="F275" s="1">
        <v>4</v>
      </c>
    </row>
    <row r="276" spans="1:9" hidden="1" x14ac:dyDescent="0.35">
      <c r="A276" s="1">
        <v>4</v>
      </c>
      <c r="B276" s="4">
        <f t="shared" si="8"/>
        <v>4446</v>
      </c>
      <c r="C276" s="4">
        <v>4542</v>
      </c>
      <c r="D276" s="4" t="s">
        <v>12</v>
      </c>
      <c r="E276" s="4" t="s">
        <v>19</v>
      </c>
      <c r="F276" s="1">
        <v>4</v>
      </c>
      <c r="I276">
        <f>C276-B276</f>
        <v>96</v>
      </c>
    </row>
    <row r="277" spans="1:9" hidden="1" x14ac:dyDescent="0.35">
      <c r="A277" s="1">
        <v>4</v>
      </c>
      <c r="B277" s="1">
        <f t="shared" si="8"/>
        <v>4542</v>
      </c>
      <c r="C277" s="1">
        <v>4652</v>
      </c>
      <c r="D277" s="1" t="s">
        <v>22</v>
      </c>
      <c r="E277" s="1" t="s">
        <v>14</v>
      </c>
      <c r="F277" s="1">
        <v>4</v>
      </c>
    </row>
    <row r="278" spans="1:9" hidden="1" x14ac:dyDescent="0.35">
      <c r="A278" s="1">
        <v>4</v>
      </c>
      <c r="B278" s="1">
        <f t="shared" si="8"/>
        <v>4652</v>
      </c>
      <c r="C278" s="1">
        <v>4698</v>
      </c>
      <c r="D278" s="1" t="s">
        <v>17</v>
      </c>
      <c r="F278" s="1">
        <v>4</v>
      </c>
    </row>
    <row r="279" spans="1:9" hidden="1" x14ac:dyDescent="0.35">
      <c r="A279" s="1">
        <v>4</v>
      </c>
      <c r="B279" s="1">
        <f t="shared" si="8"/>
        <v>4698</v>
      </c>
      <c r="C279" s="1">
        <v>4794</v>
      </c>
      <c r="D279" s="1" t="s">
        <v>15</v>
      </c>
      <c r="F279" s="1">
        <v>4</v>
      </c>
    </row>
    <row r="280" spans="1:9" hidden="1" x14ac:dyDescent="0.35">
      <c r="A280" s="8">
        <v>4</v>
      </c>
      <c r="B280" s="1">
        <f t="shared" si="8"/>
        <v>4794</v>
      </c>
      <c r="C280" s="1">
        <v>5078</v>
      </c>
      <c r="D280" s="1" t="s">
        <v>17</v>
      </c>
      <c r="E280" s="1" t="s">
        <v>30</v>
      </c>
      <c r="F280" s="1">
        <v>4</v>
      </c>
    </row>
    <row r="281" spans="1:9" hidden="1" x14ac:dyDescent="0.35">
      <c r="A281" s="8">
        <v>4</v>
      </c>
      <c r="B281" s="1">
        <f t="shared" si="8"/>
        <v>5078</v>
      </c>
      <c r="C281" s="1">
        <v>5116</v>
      </c>
      <c r="D281" s="1" t="s">
        <v>15</v>
      </c>
      <c r="E281" s="1" t="s">
        <v>29</v>
      </c>
      <c r="F281" s="1">
        <v>4</v>
      </c>
    </row>
    <row r="282" spans="1:9" hidden="1" x14ac:dyDescent="0.35">
      <c r="A282" s="8">
        <v>4</v>
      </c>
      <c r="B282" s="1">
        <f t="shared" si="8"/>
        <v>5116</v>
      </c>
      <c r="C282" s="1">
        <v>5292</v>
      </c>
      <c r="D282" s="1" t="s">
        <v>22</v>
      </c>
      <c r="E282" s="1" t="s">
        <v>14</v>
      </c>
      <c r="F282" s="1">
        <v>4</v>
      </c>
    </row>
    <row r="283" spans="1:9" hidden="1" x14ac:dyDescent="0.35">
      <c r="A283" s="8">
        <v>4</v>
      </c>
      <c r="B283" s="1">
        <f t="shared" si="8"/>
        <v>5292</v>
      </c>
      <c r="C283" s="1">
        <v>5332</v>
      </c>
      <c r="D283" s="1" t="s">
        <v>15</v>
      </c>
      <c r="E283" s="1" t="s">
        <v>29</v>
      </c>
      <c r="F283" s="1">
        <v>4</v>
      </c>
    </row>
    <row r="284" spans="1:9" hidden="1" x14ac:dyDescent="0.35">
      <c r="A284" s="8">
        <v>4</v>
      </c>
      <c r="B284" s="1">
        <f t="shared" si="8"/>
        <v>5332</v>
      </c>
      <c r="C284" s="1">
        <v>5521</v>
      </c>
      <c r="D284" s="1" t="s">
        <v>22</v>
      </c>
      <c r="E284" s="1" t="s">
        <v>14</v>
      </c>
      <c r="F284" s="1">
        <v>4</v>
      </c>
    </row>
    <row r="285" spans="1:9" hidden="1" x14ac:dyDescent="0.35">
      <c r="A285" s="8">
        <v>4</v>
      </c>
      <c r="B285" s="1">
        <f t="shared" si="8"/>
        <v>5521</v>
      </c>
      <c r="C285" s="1">
        <v>5546</v>
      </c>
      <c r="D285" s="1" t="s">
        <v>15</v>
      </c>
      <c r="E285" s="1" t="s">
        <v>29</v>
      </c>
      <c r="F285" s="1">
        <v>4</v>
      </c>
    </row>
    <row r="286" spans="1:9" hidden="1" x14ac:dyDescent="0.35">
      <c r="A286" s="8">
        <v>4</v>
      </c>
      <c r="B286" s="1">
        <f t="shared" si="8"/>
        <v>5546</v>
      </c>
      <c r="C286" s="1">
        <v>5582</v>
      </c>
      <c r="D286" s="1" t="s">
        <v>22</v>
      </c>
      <c r="E286" s="1" t="s">
        <v>14</v>
      </c>
      <c r="F286" s="1">
        <v>4</v>
      </c>
    </row>
    <row r="287" spans="1:9" x14ac:dyDescent="0.35">
      <c r="A287" s="8">
        <v>4</v>
      </c>
      <c r="B287" s="1">
        <f t="shared" si="8"/>
        <v>5582</v>
      </c>
      <c r="C287" s="1">
        <v>5590</v>
      </c>
      <c r="D287" s="1" t="s">
        <v>22</v>
      </c>
      <c r="E287" s="1" t="s">
        <v>18</v>
      </c>
      <c r="F287" s="1">
        <v>4</v>
      </c>
    </row>
    <row r="288" spans="1:9" hidden="1" x14ac:dyDescent="0.35">
      <c r="A288" s="8">
        <v>4</v>
      </c>
      <c r="B288" s="1">
        <f t="shared" si="8"/>
        <v>5590</v>
      </c>
      <c r="C288" s="1">
        <v>5735</v>
      </c>
      <c r="D288" s="1" t="s">
        <v>22</v>
      </c>
      <c r="E288" s="1" t="s">
        <v>14</v>
      </c>
      <c r="F288" s="1">
        <v>4</v>
      </c>
    </row>
    <row r="289" spans="1:9" hidden="1" x14ac:dyDescent="0.35">
      <c r="A289" s="8">
        <v>4</v>
      </c>
      <c r="B289" s="4">
        <f t="shared" si="8"/>
        <v>5735</v>
      </c>
      <c r="C289" s="4">
        <v>5745</v>
      </c>
      <c r="D289" s="4" t="s">
        <v>12</v>
      </c>
      <c r="E289" s="4" t="s">
        <v>19</v>
      </c>
      <c r="F289" s="1">
        <v>4</v>
      </c>
      <c r="I289">
        <f>C289-B289</f>
        <v>10</v>
      </c>
    </row>
    <row r="290" spans="1:9" hidden="1" x14ac:dyDescent="0.35">
      <c r="A290" s="8">
        <v>4</v>
      </c>
      <c r="B290" s="1">
        <f t="shared" si="8"/>
        <v>5745</v>
      </c>
      <c r="C290" s="1">
        <v>5786</v>
      </c>
      <c r="D290" s="1" t="s">
        <v>15</v>
      </c>
      <c r="E290" s="1" t="s">
        <v>29</v>
      </c>
      <c r="F290" s="1">
        <v>4</v>
      </c>
    </row>
    <row r="291" spans="1:9" hidden="1" x14ac:dyDescent="0.35">
      <c r="A291" s="10">
        <v>4</v>
      </c>
      <c r="B291" s="1">
        <f t="shared" si="8"/>
        <v>5786</v>
      </c>
      <c r="C291" s="1">
        <v>5820</v>
      </c>
      <c r="D291" s="1" t="s">
        <v>22</v>
      </c>
      <c r="E291" s="1" t="s">
        <v>14</v>
      </c>
      <c r="F291" s="1">
        <v>4</v>
      </c>
    </row>
    <row r="292" spans="1:9" hidden="1" x14ac:dyDescent="0.35">
      <c r="A292" s="9">
        <v>4</v>
      </c>
      <c r="B292" s="5">
        <f t="shared" si="8"/>
        <v>5820</v>
      </c>
      <c r="C292" s="5">
        <v>5940</v>
      </c>
      <c r="D292" s="5" t="s">
        <v>12</v>
      </c>
      <c r="E292" s="5" t="s">
        <v>19</v>
      </c>
      <c r="F292" s="2">
        <v>4</v>
      </c>
      <c r="I292">
        <f>C292-B292</f>
        <v>120</v>
      </c>
    </row>
    <row r="293" spans="1:9" hidden="1" x14ac:dyDescent="0.35">
      <c r="A293" s="1">
        <v>5</v>
      </c>
      <c r="B293" s="1">
        <v>0</v>
      </c>
      <c r="C293" s="1">
        <v>49</v>
      </c>
      <c r="D293" s="1" t="s">
        <v>12</v>
      </c>
      <c r="E293" s="1" t="s">
        <v>14</v>
      </c>
      <c r="F293" s="1">
        <v>0</v>
      </c>
    </row>
    <row r="294" spans="1:9" hidden="1" x14ac:dyDescent="0.35">
      <c r="A294" s="1">
        <v>5</v>
      </c>
      <c r="B294" s="1">
        <v>49</v>
      </c>
      <c r="C294" s="1">
        <v>71</v>
      </c>
      <c r="D294" s="1" t="s">
        <v>15</v>
      </c>
      <c r="E294" s="1" t="s">
        <v>29</v>
      </c>
      <c r="F294" s="1">
        <v>0</v>
      </c>
    </row>
    <row r="295" spans="1:9" hidden="1" x14ac:dyDescent="0.35">
      <c r="A295" s="1">
        <v>5</v>
      </c>
      <c r="B295" s="1">
        <v>71</v>
      </c>
      <c r="C295" s="1">
        <v>120</v>
      </c>
      <c r="D295" s="1" t="s">
        <v>12</v>
      </c>
      <c r="E295" s="1" t="s">
        <v>14</v>
      </c>
      <c r="F295" s="1">
        <v>0</v>
      </c>
    </row>
    <row r="296" spans="1:9" hidden="1" x14ac:dyDescent="0.35">
      <c r="A296" s="1">
        <v>5</v>
      </c>
      <c r="B296" s="1">
        <v>120</v>
      </c>
      <c r="C296" s="1">
        <v>206</v>
      </c>
      <c r="D296" s="1" t="s">
        <v>15</v>
      </c>
      <c r="F296" s="1">
        <v>0</v>
      </c>
    </row>
    <row r="297" spans="1:9" hidden="1" x14ac:dyDescent="0.35">
      <c r="A297" s="1">
        <v>5</v>
      </c>
      <c r="B297" s="1">
        <v>206</v>
      </c>
      <c r="C297" s="1">
        <v>249</v>
      </c>
      <c r="D297" s="1" t="s">
        <v>12</v>
      </c>
      <c r="E297" s="1" t="s">
        <v>18</v>
      </c>
      <c r="F297" s="1">
        <v>0</v>
      </c>
      <c r="G297">
        <f>SUM(I297:I402)</f>
        <v>500.99999999999977</v>
      </c>
      <c r="I297">
        <f>C297-B297</f>
        <v>43</v>
      </c>
    </row>
    <row r="298" spans="1:9" hidden="1" x14ac:dyDescent="0.35">
      <c r="A298" s="1">
        <v>5</v>
      </c>
      <c r="B298" s="1">
        <v>249</v>
      </c>
      <c r="C298" s="1">
        <v>295</v>
      </c>
      <c r="D298" s="1" t="s">
        <v>12</v>
      </c>
      <c r="E298" s="1" t="s">
        <v>14</v>
      </c>
      <c r="F298" s="1">
        <v>0</v>
      </c>
    </row>
    <row r="299" spans="1:9" hidden="1" x14ac:dyDescent="0.35">
      <c r="A299" s="1">
        <v>5</v>
      </c>
      <c r="B299" s="1">
        <v>295</v>
      </c>
      <c r="C299" s="1">
        <v>318</v>
      </c>
      <c r="D299" s="1" t="s">
        <v>15</v>
      </c>
      <c r="E299" s="1" t="s">
        <v>29</v>
      </c>
      <c r="F299" s="1">
        <v>0</v>
      </c>
    </row>
    <row r="300" spans="1:9" hidden="1" x14ac:dyDescent="0.35">
      <c r="A300" s="1">
        <v>5</v>
      </c>
      <c r="B300" s="1">
        <v>318</v>
      </c>
      <c r="C300" s="1">
        <v>358.00000000000006</v>
      </c>
      <c r="D300" s="1" t="s">
        <v>12</v>
      </c>
      <c r="E300" s="1" t="s">
        <v>14</v>
      </c>
      <c r="F300" s="1">
        <v>0</v>
      </c>
    </row>
    <row r="301" spans="1:9" hidden="1" x14ac:dyDescent="0.35">
      <c r="A301" s="1">
        <v>5</v>
      </c>
      <c r="B301" s="1">
        <v>358.00000000000006</v>
      </c>
      <c r="C301" s="1">
        <v>416</v>
      </c>
      <c r="D301" s="4" t="s">
        <v>31</v>
      </c>
      <c r="E301" s="4"/>
      <c r="F301" s="1">
        <v>1</v>
      </c>
    </row>
    <row r="302" spans="1:9" hidden="1" x14ac:dyDescent="0.35">
      <c r="A302" s="1">
        <v>5</v>
      </c>
      <c r="B302" s="1">
        <v>416</v>
      </c>
      <c r="C302" s="1">
        <v>792</v>
      </c>
      <c r="D302" s="1" t="s">
        <v>15</v>
      </c>
      <c r="F302" s="1">
        <v>1</v>
      </c>
    </row>
    <row r="303" spans="1:9" hidden="1" x14ac:dyDescent="0.35">
      <c r="A303" s="1">
        <v>5</v>
      </c>
      <c r="B303" s="1">
        <v>792</v>
      </c>
      <c r="C303" s="1">
        <v>801</v>
      </c>
      <c r="D303" s="1" t="s">
        <v>17</v>
      </c>
      <c r="E303" s="1" t="s">
        <v>14</v>
      </c>
      <c r="F303" s="1">
        <v>1</v>
      </c>
    </row>
    <row r="304" spans="1:9" hidden="1" x14ac:dyDescent="0.35">
      <c r="A304" s="1">
        <v>5</v>
      </c>
      <c r="B304" s="1">
        <v>801</v>
      </c>
      <c r="C304" s="1">
        <v>805</v>
      </c>
      <c r="D304" s="1" t="s">
        <v>15</v>
      </c>
      <c r="E304" s="1" t="s">
        <v>29</v>
      </c>
      <c r="F304" s="1">
        <v>1</v>
      </c>
    </row>
    <row r="305" spans="1:9" hidden="1" x14ac:dyDescent="0.35">
      <c r="A305" s="1">
        <v>5</v>
      </c>
      <c r="B305" s="1">
        <v>805</v>
      </c>
      <c r="C305" s="1">
        <v>849</v>
      </c>
      <c r="D305" s="3" t="s">
        <v>12</v>
      </c>
      <c r="E305" s="3" t="s">
        <v>21</v>
      </c>
      <c r="F305" s="6">
        <v>1</v>
      </c>
      <c r="I305">
        <f>C305-B305</f>
        <v>44</v>
      </c>
    </row>
    <row r="306" spans="1:9" hidden="1" x14ac:dyDescent="0.35">
      <c r="A306" s="1">
        <v>5</v>
      </c>
      <c r="B306" s="1">
        <v>849</v>
      </c>
      <c r="C306" s="1">
        <v>867.99999999999989</v>
      </c>
      <c r="D306" s="1" t="s">
        <v>12</v>
      </c>
      <c r="E306" s="1" t="s">
        <v>14</v>
      </c>
      <c r="F306" s="1">
        <v>1</v>
      </c>
    </row>
    <row r="307" spans="1:9" hidden="1" x14ac:dyDescent="0.35">
      <c r="A307" s="1">
        <v>5</v>
      </c>
      <c r="B307" s="1">
        <v>867.99999999999989</v>
      </c>
      <c r="C307" s="1">
        <v>894</v>
      </c>
      <c r="D307" s="1" t="s">
        <v>15</v>
      </c>
      <c r="E307" s="1" t="s">
        <v>29</v>
      </c>
      <c r="F307" s="1">
        <v>1</v>
      </c>
    </row>
    <row r="308" spans="1:9" hidden="1" x14ac:dyDescent="0.35">
      <c r="A308" s="1">
        <v>5</v>
      </c>
      <c r="B308" s="1">
        <v>894</v>
      </c>
      <c r="C308" s="1">
        <v>923</v>
      </c>
      <c r="D308" s="1" t="s">
        <v>12</v>
      </c>
      <c r="E308" s="1" t="s">
        <v>14</v>
      </c>
      <c r="F308" s="1">
        <v>1</v>
      </c>
    </row>
    <row r="309" spans="1:9" hidden="1" x14ac:dyDescent="0.35">
      <c r="A309" s="1">
        <v>5</v>
      </c>
      <c r="B309" s="1">
        <v>923</v>
      </c>
      <c r="C309" s="1">
        <v>945</v>
      </c>
      <c r="D309" s="1" t="s">
        <v>15</v>
      </c>
      <c r="E309" s="1" t="s">
        <v>29</v>
      </c>
      <c r="F309" s="1">
        <v>1</v>
      </c>
    </row>
    <row r="310" spans="1:9" hidden="1" x14ac:dyDescent="0.35">
      <c r="A310" s="1">
        <v>5</v>
      </c>
      <c r="B310" s="1">
        <v>945</v>
      </c>
      <c r="C310" s="1">
        <v>1013.9999999999998</v>
      </c>
      <c r="D310" s="1" t="s">
        <v>12</v>
      </c>
      <c r="E310" s="1" t="s">
        <v>14</v>
      </c>
      <c r="F310" s="1">
        <v>1</v>
      </c>
    </row>
    <row r="311" spans="1:9" hidden="1" x14ac:dyDescent="0.35">
      <c r="A311" s="1">
        <v>5</v>
      </c>
      <c r="B311" s="1">
        <v>1013.9999999999998</v>
      </c>
      <c r="C311" s="1">
        <v>1040</v>
      </c>
      <c r="D311" s="1" t="s">
        <v>15</v>
      </c>
      <c r="E311" s="1" t="s">
        <v>29</v>
      </c>
      <c r="F311" s="1">
        <v>1</v>
      </c>
    </row>
    <row r="312" spans="1:9" hidden="1" x14ac:dyDescent="0.35">
      <c r="A312" s="1">
        <v>5</v>
      </c>
      <c r="B312" s="1">
        <v>1040</v>
      </c>
      <c r="C312" s="1">
        <v>1069</v>
      </c>
      <c r="D312" s="1" t="s">
        <v>12</v>
      </c>
      <c r="E312" s="1" t="s">
        <v>14</v>
      </c>
      <c r="F312" s="1">
        <v>1</v>
      </c>
    </row>
    <row r="313" spans="1:9" hidden="1" x14ac:dyDescent="0.35">
      <c r="A313" s="1">
        <v>5</v>
      </c>
      <c r="B313" s="1">
        <v>1069</v>
      </c>
      <c r="C313" s="1">
        <v>1168</v>
      </c>
      <c r="D313" s="4" t="s">
        <v>31</v>
      </c>
      <c r="E313" s="4"/>
      <c r="F313" s="1">
        <v>2</v>
      </c>
    </row>
    <row r="314" spans="1:9" hidden="1" x14ac:dyDescent="0.35">
      <c r="A314" s="1">
        <v>5</v>
      </c>
      <c r="B314" s="1">
        <v>1168</v>
      </c>
      <c r="C314" s="1">
        <v>1258</v>
      </c>
      <c r="D314" s="1" t="s">
        <v>15</v>
      </c>
      <c r="F314" s="1">
        <v>2</v>
      </c>
    </row>
    <row r="315" spans="1:9" hidden="1" x14ac:dyDescent="0.35">
      <c r="A315" s="1">
        <v>5</v>
      </c>
      <c r="B315" s="1">
        <v>1258</v>
      </c>
      <c r="C315" s="1">
        <v>1343.9999999999998</v>
      </c>
      <c r="D315" s="4" t="s">
        <v>12</v>
      </c>
      <c r="E315" s="4" t="s">
        <v>19</v>
      </c>
      <c r="F315" s="1">
        <v>2</v>
      </c>
      <c r="I315">
        <f>C315-B315</f>
        <v>85.999999999999773</v>
      </c>
    </row>
    <row r="316" spans="1:9" hidden="1" x14ac:dyDescent="0.35">
      <c r="A316" s="1">
        <v>5</v>
      </c>
      <c r="B316" s="1">
        <v>1343.9999999999998</v>
      </c>
      <c r="C316" s="1">
        <v>1374</v>
      </c>
      <c r="D316" s="1" t="s">
        <v>12</v>
      </c>
      <c r="E316" s="1" t="s">
        <v>14</v>
      </c>
      <c r="F316" s="1">
        <v>2</v>
      </c>
    </row>
    <row r="317" spans="1:9" hidden="1" x14ac:dyDescent="0.35">
      <c r="A317" s="1">
        <v>5</v>
      </c>
      <c r="B317" s="1">
        <v>1374</v>
      </c>
      <c r="C317" s="1">
        <v>1386</v>
      </c>
      <c r="D317" s="1" t="s">
        <v>12</v>
      </c>
      <c r="E317" s="8" t="s">
        <v>25</v>
      </c>
      <c r="F317" s="1">
        <v>2</v>
      </c>
      <c r="I317">
        <f>C317-B317</f>
        <v>12</v>
      </c>
    </row>
    <row r="318" spans="1:9" hidden="1" x14ac:dyDescent="0.35">
      <c r="A318" s="1">
        <v>5</v>
      </c>
      <c r="B318" s="1">
        <v>1386</v>
      </c>
      <c r="C318" s="1">
        <v>1421.9999999999998</v>
      </c>
      <c r="D318" s="1" t="s">
        <v>15</v>
      </c>
      <c r="E318" s="1" t="s">
        <v>29</v>
      </c>
      <c r="F318" s="1">
        <v>2</v>
      </c>
    </row>
    <row r="319" spans="1:9" hidden="1" x14ac:dyDescent="0.35">
      <c r="A319" s="1">
        <v>5</v>
      </c>
      <c r="B319" s="1">
        <v>1421.9999999999998</v>
      </c>
      <c r="C319" s="1">
        <v>1453</v>
      </c>
      <c r="D319" s="1" t="s">
        <v>22</v>
      </c>
      <c r="E319" s="1" t="s">
        <v>14</v>
      </c>
      <c r="F319" s="1">
        <v>2</v>
      </c>
    </row>
    <row r="320" spans="1:9" hidden="1" x14ac:dyDescent="0.35">
      <c r="A320" s="1">
        <v>5</v>
      </c>
      <c r="B320" s="1">
        <v>1453</v>
      </c>
      <c r="C320" s="1">
        <v>1473</v>
      </c>
      <c r="D320" s="1" t="s">
        <v>15</v>
      </c>
      <c r="E320" s="1" t="s">
        <v>29</v>
      </c>
      <c r="F320" s="1">
        <v>2</v>
      </c>
    </row>
    <row r="321" spans="1:9" hidden="1" x14ac:dyDescent="0.35">
      <c r="A321" s="1">
        <v>5</v>
      </c>
      <c r="B321" s="1">
        <v>1473</v>
      </c>
      <c r="C321" s="1">
        <v>1494</v>
      </c>
      <c r="D321" s="1" t="s">
        <v>22</v>
      </c>
      <c r="E321" s="1" t="s">
        <v>14</v>
      </c>
      <c r="F321" s="1">
        <v>2</v>
      </c>
    </row>
    <row r="322" spans="1:9" hidden="1" x14ac:dyDescent="0.35">
      <c r="A322" s="1">
        <v>5</v>
      </c>
      <c r="B322" s="1">
        <v>1494</v>
      </c>
      <c r="C322" s="1">
        <v>1520</v>
      </c>
      <c r="D322" s="1" t="s">
        <v>15</v>
      </c>
      <c r="E322" s="1" t="s">
        <v>29</v>
      </c>
      <c r="F322" s="1">
        <v>2</v>
      </c>
    </row>
    <row r="323" spans="1:9" hidden="1" x14ac:dyDescent="0.35">
      <c r="A323" s="1">
        <v>5</v>
      </c>
      <c r="B323" s="1">
        <v>1520</v>
      </c>
      <c r="C323" s="1">
        <v>1529</v>
      </c>
      <c r="D323" s="1" t="s">
        <v>22</v>
      </c>
      <c r="E323" s="1" t="s">
        <v>14</v>
      </c>
      <c r="F323" s="1">
        <v>2</v>
      </c>
    </row>
    <row r="324" spans="1:9" x14ac:dyDescent="0.35">
      <c r="A324" s="1">
        <v>5</v>
      </c>
      <c r="B324" s="1">
        <v>1529</v>
      </c>
      <c r="C324" s="1">
        <v>1536</v>
      </c>
      <c r="D324" s="1" t="s">
        <v>22</v>
      </c>
      <c r="E324" s="1" t="s">
        <v>18</v>
      </c>
      <c r="F324" s="1">
        <v>2</v>
      </c>
    </row>
    <row r="325" spans="1:9" hidden="1" x14ac:dyDescent="0.35">
      <c r="A325" s="1">
        <v>5</v>
      </c>
      <c r="B325" s="1">
        <v>1536</v>
      </c>
      <c r="C325" s="1">
        <v>1552.9999999999998</v>
      </c>
      <c r="D325" s="1" t="s">
        <v>22</v>
      </c>
      <c r="E325" s="1" t="s">
        <v>14</v>
      </c>
      <c r="F325" s="1">
        <v>2</v>
      </c>
    </row>
    <row r="326" spans="1:9" hidden="1" x14ac:dyDescent="0.35">
      <c r="A326" s="1">
        <v>5</v>
      </c>
      <c r="B326" s="1">
        <v>1552.9999999999998</v>
      </c>
      <c r="C326" s="1">
        <v>1599</v>
      </c>
      <c r="D326" s="1" t="s">
        <v>15</v>
      </c>
      <c r="E326" s="1" t="s">
        <v>29</v>
      </c>
      <c r="F326" s="1">
        <v>2</v>
      </c>
    </row>
    <row r="327" spans="1:9" hidden="1" x14ac:dyDescent="0.35">
      <c r="A327" s="1">
        <v>5</v>
      </c>
      <c r="B327" s="1">
        <v>1599</v>
      </c>
      <c r="C327" s="1">
        <v>1625.0000000000002</v>
      </c>
      <c r="D327" s="1" t="s">
        <v>22</v>
      </c>
      <c r="E327" s="1" t="s">
        <v>14</v>
      </c>
      <c r="F327" s="1">
        <v>2</v>
      </c>
    </row>
    <row r="328" spans="1:9" hidden="1" x14ac:dyDescent="0.35">
      <c r="A328" s="1">
        <v>5</v>
      </c>
      <c r="B328" s="1">
        <v>1625.0000000000002</v>
      </c>
      <c r="C328" s="1">
        <v>1640</v>
      </c>
      <c r="D328" s="1" t="s">
        <v>15</v>
      </c>
      <c r="E328" s="1" t="s">
        <v>29</v>
      </c>
      <c r="F328" s="1">
        <v>2</v>
      </c>
    </row>
    <row r="329" spans="1:9" hidden="1" x14ac:dyDescent="0.35">
      <c r="A329" s="1">
        <v>5</v>
      </c>
      <c r="B329" s="1">
        <v>1640</v>
      </c>
      <c r="C329" s="1">
        <v>1678.0000000000002</v>
      </c>
      <c r="D329" s="1" t="s">
        <v>22</v>
      </c>
      <c r="E329" s="1" t="s">
        <v>14</v>
      </c>
      <c r="F329" s="1">
        <v>2</v>
      </c>
    </row>
    <row r="330" spans="1:9" hidden="1" x14ac:dyDescent="0.35">
      <c r="A330" s="1">
        <v>5</v>
      </c>
      <c r="B330" s="1">
        <v>1678.0000000000002</v>
      </c>
      <c r="C330" s="1">
        <v>1693</v>
      </c>
      <c r="D330" s="1" t="s">
        <v>15</v>
      </c>
      <c r="E330" s="1" t="s">
        <v>29</v>
      </c>
      <c r="F330" s="1">
        <v>2</v>
      </c>
    </row>
    <row r="331" spans="1:9" hidden="1" x14ac:dyDescent="0.35">
      <c r="A331" s="1">
        <v>5</v>
      </c>
      <c r="B331" s="1">
        <v>1693</v>
      </c>
      <c r="C331" s="1">
        <v>1738</v>
      </c>
      <c r="D331" s="1" t="s">
        <v>22</v>
      </c>
      <c r="E331" s="1" t="s">
        <v>14</v>
      </c>
      <c r="F331" s="1">
        <v>2</v>
      </c>
    </row>
    <row r="332" spans="1:9" hidden="1" x14ac:dyDescent="0.35">
      <c r="A332" s="1">
        <v>5</v>
      </c>
      <c r="B332" s="1">
        <v>1738</v>
      </c>
      <c r="C332" s="1">
        <v>1749</v>
      </c>
      <c r="D332" s="1" t="s">
        <v>15</v>
      </c>
      <c r="E332" s="1" t="s">
        <v>29</v>
      </c>
      <c r="F332" s="1">
        <v>2</v>
      </c>
    </row>
    <row r="333" spans="1:9" hidden="1" x14ac:dyDescent="0.35">
      <c r="A333" s="1">
        <v>5</v>
      </c>
      <c r="B333" s="1">
        <v>1749</v>
      </c>
      <c r="C333" s="1">
        <v>1809.0000000000002</v>
      </c>
      <c r="D333" s="1" t="s">
        <v>22</v>
      </c>
      <c r="E333" s="1" t="s">
        <v>14</v>
      </c>
      <c r="F333" s="1">
        <v>2</v>
      </c>
    </row>
    <row r="334" spans="1:9" hidden="1" x14ac:dyDescent="0.35">
      <c r="A334" s="1">
        <v>5</v>
      </c>
      <c r="B334" s="1">
        <v>1809.0000000000002</v>
      </c>
      <c r="C334" s="1">
        <v>1845</v>
      </c>
      <c r="D334" s="1" t="s">
        <v>15</v>
      </c>
      <c r="E334" s="1" t="s">
        <v>29</v>
      </c>
      <c r="F334" s="1">
        <v>2</v>
      </c>
    </row>
    <row r="335" spans="1:9" hidden="1" x14ac:dyDescent="0.35">
      <c r="A335" s="1">
        <v>5</v>
      </c>
      <c r="B335" s="1">
        <v>1845</v>
      </c>
      <c r="C335" s="1">
        <v>1887</v>
      </c>
      <c r="D335" s="3" t="s">
        <v>12</v>
      </c>
      <c r="E335" s="3" t="s">
        <v>21</v>
      </c>
      <c r="F335" s="1">
        <v>2</v>
      </c>
      <c r="I335">
        <f>C335-B335</f>
        <v>42</v>
      </c>
    </row>
    <row r="336" spans="1:9" hidden="1" x14ac:dyDescent="0.35">
      <c r="A336" s="1">
        <v>5</v>
      </c>
      <c r="B336" s="1">
        <v>1887</v>
      </c>
      <c r="C336" s="1">
        <v>1910</v>
      </c>
      <c r="D336" s="1" t="s">
        <v>12</v>
      </c>
      <c r="E336" s="1" t="s">
        <v>14</v>
      </c>
      <c r="F336" s="1">
        <v>2</v>
      </c>
    </row>
    <row r="337" spans="1:9" hidden="1" x14ac:dyDescent="0.35">
      <c r="A337" s="1">
        <v>5</v>
      </c>
      <c r="B337" s="1">
        <v>1910</v>
      </c>
      <c r="C337" s="1">
        <v>1979</v>
      </c>
      <c r="D337" s="4" t="s">
        <v>31</v>
      </c>
      <c r="E337" s="4"/>
      <c r="F337" s="1">
        <v>3</v>
      </c>
    </row>
    <row r="338" spans="1:9" hidden="1" x14ac:dyDescent="0.35">
      <c r="A338" s="1">
        <v>5</v>
      </c>
      <c r="B338" s="1">
        <v>1979</v>
      </c>
      <c r="C338" s="1">
        <v>2007</v>
      </c>
      <c r="D338" s="1" t="s">
        <v>15</v>
      </c>
      <c r="F338" s="1">
        <v>3</v>
      </c>
    </row>
    <row r="339" spans="1:9" hidden="1" x14ac:dyDescent="0.35">
      <c r="A339" s="1">
        <v>5</v>
      </c>
      <c r="B339" s="1">
        <v>2007</v>
      </c>
      <c r="C339" s="1">
        <v>2044</v>
      </c>
      <c r="D339" s="4" t="s">
        <v>12</v>
      </c>
      <c r="E339" s="4" t="s">
        <v>19</v>
      </c>
      <c r="F339" s="1">
        <v>3</v>
      </c>
      <c r="I339">
        <f>C339-B339</f>
        <v>37</v>
      </c>
    </row>
    <row r="340" spans="1:9" x14ac:dyDescent="0.35">
      <c r="A340" s="1">
        <v>5</v>
      </c>
      <c r="B340" s="1">
        <v>2044</v>
      </c>
      <c r="C340" s="1">
        <v>2073</v>
      </c>
      <c r="D340" s="1" t="s">
        <v>22</v>
      </c>
      <c r="E340" s="1" t="s">
        <v>19</v>
      </c>
      <c r="F340" s="1">
        <v>3</v>
      </c>
    </row>
    <row r="341" spans="1:9" hidden="1" x14ac:dyDescent="0.35">
      <c r="A341" s="1">
        <v>5</v>
      </c>
      <c r="B341" s="1">
        <v>2073</v>
      </c>
      <c r="C341" s="1">
        <v>2118</v>
      </c>
      <c r="D341" s="4" t="s">
        <v>12</v>
      </c>
      <c r="E341" s="4" t="s">
        <v>19</v>
      </c>
      <c r="F341" s="1">
        <v>3</v>
      </c>
      <c r="I341">
        <f>C341-B341</f>
        <v>45</v>
      </c>
    </row>
    <row r="342" spans="1:9" hidden="1" x14ac:dyDescent="0.35">
      <c r="A342" s="1">
        <v>5</v>
      </c>
      <c r="B342" s="1">
        <v>2118</v>
      </c>
      <c r="C342" s="1">
        <v>2124</v>
      </c>
      <c r="D342" s="1" t="s">
        <v>15</v>
      </c>
      <c r="E342" s="1" t="s">
        <v>16</v>
      </c>
      <c r="F342" s="1">
        <v>3</v>
      </c>
    </row>
    <row r="343" spans="1:9" hidden="1" x14ac:dyDescent="0.35">
      <c r="A343" s="1">
        <v>5</v>
      </c>
      <c r="B343" s="1">
        <v>2124</v>
      </c>
      <c r="C343" s="1">
        <v>2175</v>
      </c>
      <c r="D343" s="1" t="s">
        <v>22</v>
      </c>
      <c r="E343" s="1" t="s">
        <v>14</v>
      </c>
      <c r="F343" s="1">
        <v>3</v>
      </c>
    </row>
    <row r="344" spans="1:9" hidden="1" x14ac:dyDescent="0.35">
      <c r="A344" s="1">
        <v>5</v>
      </c>
      <c r="B344" s="1">
        <v>2175</v>
      </c>
      <c r="C344" s="1">
        <v>2193</v>
      </c>
      <c r="D344" s="1" t="s">
        <v>15</v>
      </c>
      <c r="E344" s="1" t="s">
        <v>29</v>
      </c>
      <c r="F344" s="1">
        <v>3</v>
      </c>
    </row>
    <row r="345" spans="1:9" hidden="1" x14ac:dyDescent="0.35">
      <c r="A345" s="1">
        <v>5</v>
      </c>
      <c r="B345" s="1">
        <v>2193</v>
      </c>
      <c r="C345" s="1">
        <v>2277</v>
      </c>
      <c r="D345" s="1" t="s">
        <v>22</v>
      </c>
      <c r="E345" s="1" t="s">
        <v>14</v>
      </c>
      <c r="F345" s="1">
        <v>3</v>
      </c>
    </row>
    <row r="346" spans="1:9" hidden="1" x14ac:dyDescent="0.35">
      <c r="A346" s="1">
        <v>5</v>
      </c>
      <c r="B346" s="1">
        <v>2277</v>
      </c>
      <c r="C346" s="1">
        <v>2295</v>
      </c>
      <c r="D346" s="1" t="s">
        <v>15</v>
      </c>
      <c r="E346" s="1" t="s">
        <v>29</v>
      </c>
      <c r="F346" s="1">
        <v>3</v>
      </c>
    </row>
    <row r="347" spans="1:9" hidden="1" x14ac:dyDescent="0.35">
      <c r="A347" s="1">
        <v>5</v>
      </c>
      <c r="B347" s="1">
        <v>2295</v>
      </c>
      <c r="C347" s="1">
        <v>2346</v>
      </c>
      <c r="D347" s="1" t="s">
        <v>22</v>
      </c>
      <c r="E347" s="1" t="s">
        <v>14</v>
      </c>
      <c r="F347" s="1">
        <v>3</v>
      </c>
    </row>
    <row r="348" spans="1:9" hidden="1" x14ac:dyDescent="0.35">
      <c r="A348" s="1">
        <v>5</v>
      </c>
      <c r="B348" s="1">
        <v>2346</v>
      </c>
      <c r="C348" s="1">
        <v>2363</v>
      </c>
      <c r="D348" s="1" t="s">
        <v>15</v>
      </c>
      <c r="E348" s="1" t="s">
        <v>29</v>
      </c>
      <c r="F348" s="1">
        <v>3</v>
      </c>
    </row>
    <row r="349" spans="1:9" hidden="1" x14ac:dyDescent="0.35">
      <c r="A349" s="1">
        <v>5</v>
      </c>
      <c r="B349" s="1">
        <v>2363</v>
      </c>
      <c r="C349" s="1">
        <v>2418</v>
      </c>
      <c r="D349" s="1" t="s">
        <v>22</v>
      </c>
      <c r="E349" s="1" t="s">
        <v>14</v>
      </c>
      <c r="F349" s="1">
        <v>3</v>
      </c>
    </row>
    <row r="350" spans="1:9" hidden="1" x14ac:dyDescent="0.35">
      <c r="A350" s="1">
        <v>5</v>
      </c>
      <c r="B350" s="1">
        <v>2418</v>
      </c>
      <c r="C350" s="1">
        <v>2429</v>
      </c>
      <c r="D350" s="1" t="s">
        <v>15</v>
      </c>
      <c r="E350" s="1" t="s">
        <v>29</v>
      </c>
      <c r="F350" s="1">
        <v>3</v>
      </c>
    </row>
    <row r="351" spans="1:9" hidden="1" x14ac:dyDescent="0.35">
      <c r="A351" s="1">
        <v>5</v>
      </c>
      <c r="B351" s="1">
        <v>2429</v>
      </c>
      <c r="C351" s="1">
        <v>2484</v>
      </c>
      <c r="D351" s="1" t="s">
        <v>22</v>
      </c>
      <c r="E351" s="1" t="s">
        <v>14</v>
      </c>
      <c r="F351" s="1">
        <v>3</v>
      </c>
    </row>
    <row r="352" spans="1:9" hidden="1" x14ac:dyDescent="0.35">
      <c r="A352" s="1">
        <v>5</v>
      </c>
      <c r="B352" s="1">
        <v>2484</v>
      </c>
      <c r="C352" s="1">
        <v>2505</v>
      </c>
      <c r="D352" s="1" t="s">
        <v>15</v>
      </c>
      <c r="E352" s="1" t="s">
        <v>29</v>
      </c>
      <c r="F352" s="1">
        <v>3</v>
      </c>
    </row>
    <row r="353" spans="1:6" hidden="1" x14ac:dyDescent="0.35">
      <c r="A353" s="1">
        <v>5</v>
      </c>
      <c r="B353" s="1">
        <v>2505</v>
      </c>
      <c r="C353" s="1">
        <v>2551</v>
      </c>
      <c r="D353" s="1" t="s">
        <v>22</v>
      </c>
      <c r="E353" s="1" t="s">
        <v>14</v>
      </c>
      <c r="F353" s="1">
        <v>3</v>
      </c>
    </row>
    <row r="354" spans="1:6" hidden="1" x14ac:dyDescent="0.35">
      <c r="A354" s="1">
        <v>5</v>
      </c>
      <c r="B354" s="1">
        <v>2551</v>
      </c>
      <c r="C354" s="1">
        <v>2571</v>
      </c>
      <c r="D354" s="1" t="s">
        <v>15</v>
      </c>
      <c r="E354" s="1" t="s">
        <v>29</v>
      </c>
      <c r="F354" s="1">
        <v>3</v>
      </c>
    </row>
    <row r="355" spans="1:6" hidden="1" x14ac:dyDescent="0.35">
      <c r="A355" s="1">
        <v>5</v>
      </c>
      <c r="B355" s="1">
        <v>2571</v>
      </c>
      <c r="C355" s="1">
        <v>2630</v>
      </c>
      <c r="D355" s="1" t="s">
        <v>22</v>
      </c>
      <c r="E355" s="1" t="s">
        <v>14</v>
      </c>
      <c r="F355" s="1">
        <v>3</v>
      </c>
    </row>
    <row r="356" spans="1:6" hidden="1" x14ac:dyDescent="0.35">
      <c r="A356" s="1">
        <v>5</v>
      </c>
      <c r="B356" s="1">
        <v>2630</v>
      </c>
      <c r="C356" s="1">
        <v>2648</v>
      </c>
      <c r="D356" s="1" t="s">
        <v>15</v>
      </c>
      <c r="E356" s="1" t="s">
        <v>29</v>
      </c>
      <c r="F356" s="1">
        <v>3</v>
      </c>
    </row>
    <row r="357" spans="1:6" hidden="1" x14ac:dyDescent="0.35">
      <c r="A357" s="1">
        <v>5</v>
      </c>
      <c r="B357" s="1">
        <v>2648</v>
      </c>
      <c r="C357" s="1">
        <v>2715</v>
      </c>
      <c r="D357" s="1" t="s">
        <v>22</v>
      </c>
      <c r="E357" s="1" t="s">
        <v>14</v>
      </c>
      <c r="F357" s="1">
        <v>3</v>
      </c>
    </row>
    <row r="358" spans="1:6" hidden="1" x14ac:dyDescent="0.35">
      <c r="A358" s="1">
        <v>5</v>
      </c>
      <c r="B358" s="1">
        <v>2715</v>
      </c>
      <c r="C358" s="1">
        <v>2733</v>
      </c>
      <c r="D358" s="1" t="s">
        <v>15</v>
      </c>
      <c r="E358" s="1" t="s">
        <v>29</v>
      </c>
      <c r="F358" s="1">
        <v>3</v>
      </c>
    </row>
    <row r="359" spans="1:6" hidden="1" x14ac:dyDescent="0.35">
      <c r="A359" s="1">
        <v>5</v>
      </c>
      <c r="B359" s="1">
        <v>2733</v>
      </c>
      <c r="C359" s="1">
        <v>2783</v>
      </c>
      <c r="D359" s="1" t="s">
        <v>22</v>
      </c>
      <c r="E359" s="1" t="s">
        <v>14</v>
      </c>
      <c r="F359" s="1">
        <v>3</v>
      </c>
    </row>
    <row r="360" spans="1:6" hidden="1" x14ac:dyDescent="0.35">
      <c r="A360" s="1">
        <v>5</v>
      </c>
      <c r="B360" s="1">
        <v>2783</v>
      </c>
      <c r="C360" s="1">
        <v>2799</v>
      </c>
      <c r="D360" s="1" t="s">
        <v>15</v>
      </c>
      <c r="E360" s="1" t="s">
        <v>29</v>
      </c>
      <c r="F360" s="1">
        <v>3</v>
      </c>
    </row>
    <row r="361" spans="1:6" hidden="1" x14ac:dyDescent="0.35">
      <c r="A361" s="1">
        <v>5</v>
      </c>
      <c r="B361" s="1">
        <v>2799</v>
      </c>
      <c r="C361" s="1">
        <v>2859</v>
      </c>
      <c r="D361" s="1" t="s">
        <v>22</v>
      </c>
      <c r="E361" s="1" t="s">
        <v>14</v>
      </c>
      <c r="F361" s="1">
        <v>3</v>
      </c>
    </row>
    <row r="362" spans="1:6" hidden="1" x14ac:dyDescent="0.35">
      <c r="A362" s="1">
        <v>5</v>
      </c>
      <c r="B362" s="1">
        <v>2859</v>
      </c>
      <c r="C362" s="1">
        <v>2879</v>
      </c>
      <c r="D362" s="1" t="s">
        <v>15</v>
      </c>
      <c r="E362" s="1" t="s">
        <v>29</v>
      </c>
      <c r="F362" s="1">
        <v>3</v>
      </c>
    </row>
    <row r="363" spans="1:6" hidden="1" x14ac:dyDescent="0.35">
      <c r="A363" s="1">
        <v>5</v>
      </c>
      <c r="B363" s="1">
        <v>2879</v>
      </c>
      <c r="C363" s="1">
        <v>2948</v>
      </c>
      <c r="D363" s="1" t="s">
        <v>22</v>
      </c>
      <c r="E363" s="1" t="s">
        <v>14</v>
      </c>
      <c r="F363" s="1">
        <v>3</v>
      </c>
    </row>
    <row r="364" spans="1:6" hidden="1" x14ac:dyDescent="0.35">
      <c r="A364" s="1">
        <v>5</v>
      </c>
      <c r="B364" s="1">
        <v>2948</v>
      </c>
      <c r="C364" s="1">
        <v>2967</v>
      </c>
      <c r="D364" s="1" t="s">
        <v>15</v>
      </c>
      <c r="E364" s="1" t="s">
        <v>29</v>
      </c>
      <c r="F364" s="1">
        <v>3</v>
      </c>
    </row>
    <row r="365" spans="1:6" hidden="1" x14ac:dyDescent="0.35">
      <c r="A365" s="1">
        <v>5</v>
      </c>
      <c r="B365" s="1">
        <v>2967</v>
      </c>
      <c r="C365" s="1">
        <v>3028</v>
      </c>
      <c r="D365" s="1" t="s">
        <v>22</v>
      </c>
      <c r="E365" s="1" t="s">
        <v>14</v>
      </c>
      <c r="F365" s="1">
        <v>3</v>
      </c>
    </row>
    <row r="366" spans="1:6" hidden="1" x14ac:dyDescent="0.35">
      <c r="A366" s="1">
        <v>5</v>
      </c>
      <c r="B366" s="1">
        <v>3028</v>
      </c>
      <c r="C366" s="1">
        <v>3051.0000000000005</v>
      </c>
      <c r="D366" s="1" t="s">
        <v>15</v>
      </c>
      <c r="E366" s="1" t="s">
        <v>29</v>
      </c>
      <c r="F366" s="1">
        <v>3</v>
      </c>
    </row>
    <row r="367" spans="1:6" hidden="1" x14ac:dyDescent="0.35">
      <c r="A367" s="1">
        <v>5</v>
      </c>
      <c r="B367" s="1">
        <v>3051.0000000000005</v>
      </c>
      <c r="C367" s="1">
        <v>3108</v>
      </c>
      <c r="D367" s="1" t="s">
        <v>22</v>
      </c>
      <c r="E367" s="1" t="s">
        <v>14</v>
      </c>
      <c r="F367" s="1">
        <v>3</v>
      </c>
    </row>
    <row r="368" spans="1:6" hidden="1" x14ac:dyDescent="0.35">
      <c r="A368" s="1">
        <v>5</v>
      </c>
      <c r="B368" s="1">
        <v>3108</v>
      </c>
      <c r="C368" s="1">
        <v>3130</v>
      </c>
      <c r="D368" s="1" t="s">
        <v>15</v>
      </c>
      <c r="E368" s="1" t="s">
        <v>29</v>
      </c>
      <c r="F368" s="1">
        <v>3</v>
      </c>
    </row>
    <row r="369" spans="1:9" hidden="1" x14ac:dyDescent="0.35">
      <c r="A369" s="1">
        <v>5</v>
      </c>
      <c r="B369" s="1">
        <v>3130</v>
      </c>
      <c r="C369" s="1">
        <v>3151</v>
      </c>
      <c r="D369" s="1" t="s">
        <v>17</v>
      </c>
      <c r="E369" s="1" t="s">
        <v>18</v>
      </c>
      <c r="F369" s="1">
        <v>3</v>
      </c>
    </row>
    <row r="370" spans="1:9" hidden="1" x14ac:dyDescent="0.35">
      <c r="A370" s="1">
        <v>5</v>
      </c>
      <c r="B370" s="1">
        <v>3151</v>
      </c>
      <c r="C370" s="1">
        <v>3213</v>
      </c>
      <c r="D370" s="1" t="s">
        <v>22</v>
      </c>
      <c r="E370" s="1" t="s">
        <v>14</v>
      </c>
      <c r="F370" s="1">
        <v>3</v>
      </c>
    </row>
    <row r="371" spans="1:9" hidden="1" x14ac:dyDescent="0.35">
      <c r="A371" s="1">
        <v>5</v>
      </c>
      <c r="B371" s="1">
        <v>3213</v>
      </c>
      <c r="C371" s="1">
        <v>3237</v>
      </c>
      <c r="D371" s="1" t="s">
        <v>15</v>
      </c>
      <c r="E371" s="1" t="s">
        <v>29</v>
      </c>
      <c r="F371" s="1">
        <v>3</v>
      </c>
    </row>
    <row r="372" spans="1:9" hidden="1" x14ac:dyDescent="0.35">
      <c r="A372" s="1">
        <v>5</v>
      </c>
      <c r="B372" s="1">
        <v>3237</v>
      </c>
      <c r="C372" s="1">
        <v>3255.9999999999995</v>
      </c>
      <c r="D372" s="1" t="s">
        <v>15</v>
      </c>
      <c r="E372" s="1" t="s">
        <v>16</v>
      </c>
      <c r="F372" s="1">
        <v>3</v>
      </c>
    </row>
    <row r="373" spans="1:9" hidden="1" x14ac:dyDescent="0.35">
      <c r="A373" s="1">
        <v>5</v>
      </c>
      <c r="B373" s="1">
        <v>3255.9999999999995</v>
      </c>
      <c r="C373" s="1">
        <v>3347</v>
      </c>
      <c r="D373" s="1" t="s">
        <v>22</v>
      </c>
      <c r="E373" s="1" t="s">
        <v>14</v>
      </c>
      <c r="F373" s="1">
        <v>3</v>
      </c>
    </row>
    <row r="374" spans="1:9" hidden="1" x14ac:dyDescent="0.35">
      <c r="A374" s="1">
        <v>5</v>
      </c>
      <c r="B374" s="1">
        <v>3347</v>
      </c>
      <c r="C374" s="1">
        <v>3365</v>
      </c>
      <c r="D374" s="1" t="s">
        <v>15</v>
      </c>
      <c r="E374" s="1" t="s">
        <v>29</v>
      </c>
      <c r="F374" s="1">
        <v>3</v>
      </c>
    </row>
    <row r="375" spans="1:9" hidden="1" x14ac:dyDescent="0.35">
      <c r="A375" s="1">
        <v>5</v>
      </c>
      <c r="B375" s="1">
        <v>3365</v>
      </c>
      <c r="C375" s="1">
        <v>3385</v>
      </c>
      <c r="D375" s="1" t="s">
        <v>22</v>
      </c>
      <c r="E375" s="1" t="s">
        <v>14</v>
      </c>
      <c r="F375" s="1">
        <v>3</v>
      </c>
    </row>
    <row r="376" spans="1:9" hidden="1" x14ac:dyDescent="0.35">
      <c r="A376" s="1">
        <v>5</v>
      </c>
      <c r="B376" s="1">
        <v>3385</v>
      </c>
      <c r="C376" s="1">
        <v>3513</v>
      </c>
      <c r="D376" s="1" t="s">
        <v>17</v>
      </c>
      <c r="E376" s="1" t="s">
        <v>14</v>
      </c>
      <c r="F376" s="1">
        <v>3</v>
      </c>
    </row>
    <row r="377" spans="1:9" hidden="1" x14ac:dyDescent="0.35">
      <c r="A377" s="1">
        <v>5</v>
      </c>
      <c r="B377" s="1">
        <v>3513</v>
      </c>
      <c r="C377" s="1">
        <v>3548</v>
      </c>
      <c r="D377" s="4" t="s">
        <v>12</v>
      </c>
      <c r="E377" s="4" t="s">
        <v>19</v>
      </c>
      <c r="F377" s="1">
        <v>3</v>
      </c>
      <c r="I377">
        <f>C377-B377</f>
        <v>35</v>
      </c>
    </row>
    <row r="378" spans="1:9" hidden="1" x14ac:dyDescent="0.35">
      <c r="A378" s="8">
        <v>5</v>
      </c>
      <c r="B378" s="1">
        <v>3548</v>
      </c>
      <c r="C378" s="1">
        <v>3563.0000000000005</v>
      </c>
      <c r="D378" s="1" t="s">
        <v>22</v>
      </c>
      <c r="E378" s="1" t="s">
        <v>14</v>
      </c>
      <c r="F378" s="1">
        <v>3</v>
      </c>
    </row>
    <row r="379" spans="1:9" hidden="1" x14ac:dyDescent="0.35">
      <c r="A379" s="8">
        <v>5</v>
      </c>
      <c r="B379" s="1">
        <v>3563.0000000000005</v>
      </c>
      <c r="C379" s="1">
        <v>3571.0000000000005</v>
      </c>
      <c r="F379" s="1">
        <v>3</v>
      </c>
    </row>
    <row r="380" spans="1:9" hidden="1" x14ac:dyDescent="0.35">
      <c r="A380" s="8">
        <v>5</v>
      </c>
      <c r="B380" s="1">
        <v>3571.0000000000005</v>
      </c>
      <c r="C380" s="1">
        <v>3660</v>
      </c>
      <c r="D380" s="1" t="s">
        <v>22</v>
      </c>
      <c r="E380" s="1" t="s">
        <v>14</v>
      </c>
      <c r="F380" s="1">
        <v>3</v>
      </c>
    </row>
    <row r="381" spans="1:9" hidden="1" x14ac:dyDescent="0.35">
      <c r="A381" s="8">
        <v>5</v>
      </c>
      <c r="B381" s="1">
        <v>3660</v>
      </c>
      <c r="C381" s="1">
        <v>3682.0000000000005</v>
      </c>
      <c r="D381" s="1" t="s">
        <v>15</v>
      </c>
      <c r="E381" s="1" t="s">
        <v>29</v>
      </c>
      <c r="F381" s="1">
        <v>3</v>
      </c>
    </row>
    <row r="382" spans="1:9" hidden="1" x14ac:dyDescent="0.35">
      <c r="A382" s="8">
        <v>5</v>
      </c>
      <c r="B382" s="1">
        <v>3682.0000000000005</v>
      </c>
      <c r="C382" s="1">
        <v>3795</v>
      </c>
      <c r="D382" s="1" t="s">
        <v>22</v>
      </c>
      <c r="E382" s="1" t="s">
        <v>14</v>
      </c>
      <c r="F382" s="1">
        <v>3</v>
      </c>
    </row>
    <row r="383" spans="1:9" hidden="1" x14ac:dyDescent="0.35">
      <c r="A383" s="8">
        <v>5</v>
      </c>
      <c r="B383" s="1">
        <v>3795</v>
      </c>
      <c r="C383" s="1">
        <v>3812.0000000000005</v>
      </c>
      <c r="D383" s="1" t="s">
        <v>15</v>
      </c>
      <c r="E383" s="1" t="s">
        <v>29</v>
      </c>
      <c r="F383" s="1">
        <v>3</v>
      </c>
    </row>
    <row r="384" spans="1:9" hidden="1" x14ac:dyDescent="0.35">
      <c r="A384" s="8">
        <v>5</v>
      </c>
      <c r="B384" s="1">
        <v>3812.0000000000005</v>
      </c>
      <c r="C384" s="1">
        <v>3881</v>
      </c>
      <c r="D384" s="1" t="s">
        <v>22</v>
      </c>
      <c r="E384" s="1" t="s">
        <v>14</v>
      </c>
      <c r="F384" s="1">
        <v>3</v>
      </c>
    </row>
    <row r="385" spans="1:9" hidden="1" x14ac:dyDescent="0.35">
      <c r="A385" s="8">
        <v>5</v>
      </c>
      <c r="B385" s="1">
        <v>3881</v>
      </c>
      <c r="C385" s="1">
        <v>3899.0000000000005</v>
      </c>
      <c r="D385" s="1" t="s">
        <v>15</v>
      </c>
      <c r="E385" s="1" t="s">
        <v>29</v>
      </c>
      <c r="F385" s="1">
        <v>3</v>
      </c>
    </row>
    <row r="386" spans="1:9" hidden="1" x14ac:dyDescent="0.35">
      <c r="A386" s="8">
        <v>5</v>
      </c>
      <c r="B386" s="1">
        <v>3899.0000000000005</v>
      </c>
      <c r="C386" s="1">
        <v>3975</v>
      </c>
      <c r="D386" s="1" t="s">
        <v>22</v>
      </c>
      <c r="E386" s="1" t="s">
        <v>14</v>
      </c>
      <c r="F386" s="1">
        <v>3</v>
      </c>
    </row>
    <row r="387" spans="1:9" hidden="1" x14ac:dyDescent="0.35">
      <c r="A387" s="8">
        <v>5</v>
      </c>
      <c r="B387" s="1">
        <v>3975</v>
      </c>
      <c r="C387" s="1">
        <v>3987</v>
      </c>
      <c r="D387" s="1" t="s">
        <v>15</v>
      </c>
      <c r="E387" s="1" t="s">
        <v>29</v>
      </c>
      <c r="F387" s="1">
        <v>3</v>
      </c>
    </row>
    <row r="388" spans="1:9" hidden="1" x14ac:dyDescent="0.35">
      <c r="A388" s="8">
        <v>5</v>
      </c>
      <c r="B388" s="1">
        <v>3987</v>
      </c>
      <c r="C388" s="1">
        <v>4079</v>
      </c>
      <c r="D388" s="1" t="s">
        <v>22</v>
      </c>
      <c r="E388" s="1" t="s">
        <v>14</v>
      </c>
      <c r="F388" s="1">
        <v>3</v>
      </c>
    </row>
    <row r="389" spans="1:9" hidden="1" x14ac:dyDescent="0.35">
      <c r="A389" s="8">
        <v>5</v>
      </c>
      <c r="B389" s="1">
        <v>4079</v>
      </c>
      <c r="C389" s="1">
        <v>4108</v>
      </c>
      <c r="D389" s="1" t="s">
        <v>17</v>
      </c>
      <c r="E389" s="1" t="s">
        <v>14</v>
      </c>
      <c r="F389" s="1">
        <v>3</v>
      </c>
    </row>
    <row r="390" spans="1:9" hidden="1" x14ac:dyDescent="0.35">
      <c r="A390" s="8">
        <v>5</v>
      </c>
      <c r="B390" s="1">
        <v>4108</v>
      </c>
      <c r="C390" s="1">
        <v>4121</v>
      </c>
      <c r="D390" s="1" t="s">
        <v>15</v>
      </c>
      <c r="E390" s="1" t="s">
        <v>29</v>
      </c>
      <c r="F390" s="1">
        <v>3</v>
      </c>
    </row>
    <row r="391" spans="1:9" hidden="1" x14ac:dyDescent="0.35">
      <c r="A391" s="8">
        <v>5</v>
      </c>
      <c r="B391" s="1">
        <v>4121</v>
      </c>
      <c r="C391" s="1">
        <v>4176</v>
      </c>
      <c r="D391" s="1" t="s">
        <v>17</v>
      </c>
      <c r="E391" s="1" t="s">
        <v>14</v>
      </c>
      <c r="F391" s="1">
        <v>3</v>
      </c>
    </row>
    <row r="392" spans="1:9" hidden="1" x14ac:dyDescent="0.35">
      <c r="A392" s="8">
        <v>5</v>
      </c>
      <c r="B392" s="1">
        <v>4176</v>
      </c>
      <c r="C392" s="1">
        <v>4584</v>
      </c>
      <c r="D392" s="1" t="s">
        <v>17</v>
      </c>
      <c r="E392" s="1" t="s">
        <v>33</v>
      </c>
      <c r="F392" s="1">
        <v>3</v>
      </c>
    </row>
    <row r="393" spans="1:9" hidden="1" x14ac:dyDescent="0.35">
      <c r="A393" s="8">
        <v>5</v>
      </c>
      <c r="B393" s="1">
        <v>4584</v>
      </c>
      <c r="C393" s="1">
        <v>4621</v>
      </c>
      <c r="D393" s="1" t="s">
        <v>15</v>
      </c>
      <c r="F393" s="1">
        <v>3</v>
      </c>
    </row>
    <row r="394" spans="1:9" hidden="1" x14ac:dyDescent="0.35">
      <c r="A394" s="8">
        <v>5</v>
      </c>
      <c r="B394" s="1">
        <v>4621</v>
      </c>
      <c r="C394" s="1">
        <v>4705</v>
      </c>
      <c r="D394" s="1" t="s">
        <v>17</v>
      </c>
      <c r="E394" s="1" t="s">
        <v>14</v>
      </c>
      <c r="F394" s="1">
        <v>3</v>
      </c>
    </row>
    <row r="395" spans="1:9" hidden="1" x14ac:dyDescent="0.35">
      <c r="A395" s="8">
        <v>5</v>
      </c>
      <c r="B395" s="1">
        <v>4705</v>
      </c>
      <c r="C395" s="1">
        <v>4731</v>
      </c>
      <c r="D395" s="1" t="s">
        <v>17</v>
      </c>
      <c r="E395" s="1" t="s">
        <v>33</v>
      </c>
      <c r="F395" s="1">
        <v>3</v>
      </c>
    </row>
    <row r="396" spans="1:9" hidden="1" x14ac:dyDescent="0.35">
      <c r="A396" s="8">
        <v>5</v>
      </c>
      <c r="B396" s="1">
        <v>4731</v>
      </c>
      <c r="C396" s="1">
        <v>4772</v>
      </c>
      <c r="D396" s="1" t="s">
        <v>17</v>
      </c>
      <c r="E396" s="1" t="s">
        <v>14</v>
      </c>
      <c r="F396" s="1">
        <v>3</v>
      </c>
    </row>
    <row r="397" spans="1:9" hidden="1" x14ac:dyDescent="0.35">
      <c r="A397" s="8">
        <v>5</v>
      </c>
      <c r="B397" s="1">
        <v>4772</v>
      </c>
      <c r="C397" s="1">
        <v>4882</v>
      </c>
      <c r="D397" s="4" t="s">
        <v>12</v>
      </c>
      <c r="E397" s="4" t="s">
        <v>19</v>
      </c>
      <c r="F397" s="1">
        <v>3</v>
      </c>
      <c r="I397">
        <f>C397-B397</f>
        <v>110</v>
      </c>
    </row>
    <row r="398" spans="1:9" hidden="1" x14ac:dyDescent="0.35">
      <c r="A398" s="8">
        <v>5</v>
      </c>
      <c r="B398" s="1">
        <v>4882</v>
      </c>
      <c r="C398" s="1">
        <v>4918</v>
      </c>
      <c r="D398" s="1" t="s">
        <v>17</v>
      </c>
      <c r="E398" s="1" t="s">
        <v>14</v>
      </c>
      <c r="F398" s="1">
        <v>3</v>
      </c>
    </row>
    <row r="399" spans="1:9" hidden="1" x14ac:dyDescent="0.35">
      <c r="A399" s="10">
        <v>5</v>
      </c>
      <c r="B399" s="1">
        <v>4918</v>
      </c>
      <c r="C399" s="1">
        <v>4960</v>
      </c>
      <c r="D399" s="1" t="s">
        <v>22</v>
      </c>
      <c r="E399" s="1" t="s">
        <v>14</v>
      </c>
      <c r="F399" s="1">
        <v>3</v>
      </c>
    </row>
    <row r="400" spans="1:9" hidden="1" x14ac:dyDescent="0.35">
      <c r="A400" s="10">
        <v>5</v>
      </c>
      <c r="B400" s="1">
        <v>4960</v>
      </c>
      <c r="C400" s="1">
        <v>4998</v>
      </c>
      <c r="D400" s="1" t="s">
        <v>32</v>
      </c>
      <c r="E400" s="1" t="s">
        <v>29</v>
      </c>
      <c r="F400" s="1">
        <v>3</v>
      </c>
    </row>
    <row r="401" spans="1:9" hidden="1" x14ac:dyDescent="0.35">
      <c r="A401" s="10">
        <v>5</v>
      </c>
      <c r="B401" s="1">
        <v>4998</v>
      </c>
      <c r="C401" s="1">
        <v>5031</v>
      </c>
      <c r="D401" s="1" t="s">
        <v>17</v>
      </c>
      <c r="E401" s="1" t="s">
        <v>14</v>
      </c>
      <c r="F401" s="1">
        <v>3</v>
      </c>
    </row>
    <row r="402" spans="1:9" hidden="1" x14ac:dyDescent="0.35">
      <c r="A402" s="9">
        <v>5</v>
      </c>
      <c r="B402" s="2">
        <v>5031</v>
      </c>
      <c r="C402" s="2">
        <v>5078</v>
      </c>
      <c r="D402" s="5" t="s">
        <v>12</v>
      </c>
      <c r="E402" s="5" t="s">
        <v>19</v>
      </c>
      <c r="F402" s="2">
        <v>3</v>
      </c>
      <c r="I402">
        <f t="shared" ref="I402:I403" si="9">C402-B402</f>
        <v>47</v>
      </c>
    </row>
    <row r="403" spans="1:9" hidden="1" x14ac:dyDescent="0.35">
      <c r="A403" s="1">
        <v>6</v>
      </c>
      <c r="B403" s="1">
        <v>0</v>
      </c>
      <c r="C403" s="1">
        <v>33</v>
      </c>
      <c r="D403" s="1" t="s">
        <v>12</v>
      </c>
      <c r="E403" s="1" t="s">
        <v>18</v>
      </c>
      <c r="G403">
        <f>SUM(I403:I477)</f>
        <v>915.00000000000011</v>
      </c>
      <c r="I403">
        <f t="shared" si="9"/>
        <v>33</v>
      </c>
    </row>
    <row r="404" spans="1:9" hidden="1" x14ac:dyDescent="0.35">
      <c r="A404" s="1">
        <v>6</v>
      </c>
      <c r="B404" s="1">
        <v>33</v>
      </c>
      <c r="C404" s="1">
        <v>117</v>
      </c>
      <c r="D404" s="1" t="s">
        <v>12</v>
      </c>
      <c r="E404" s="1" t="s">
        <v>14</v>
      </c>
    </row>
    <row r="405" spans="1:9" hidden="1" x14ac:dyDescent="0.35">
      <c r="A405" s="1">
        <v>6</v>
      </c>
      <c r="B405" s="1">
        <v>117</v>
      </c>
      <c r="C405" s="1">
        <v>280</v>
      </c>
      <c r="D405" s="1" t="s">
        <v>15</v>
      </c>
    </row>
    <row r="406" spans="1:9" hidden="1" x14ac:dyDescent="0.35">
      <c r="A406" s="1">
        <v>6</v>
      </c>
      <c r="B406" s="1">
        <v>280</v>
      </c>
      <c r="C406" s="1">
        <v>332</v>
      </c>
      <c r="D406" s="1" t="s">
        <v>12</v>
      </c>
      <c r="E406" s="1" t="s">
        <v>14</v>
      </c>
    </row>
    <row r="407" spans="1:9" hidden="1" x14ac:dyDescent="0.35">
      <c r="A407" s="1">
        <v>6</v>
      </c>
      <c r="B407" s="1">
        <v>332</v>
      </c>
      <c r="C407" s="1">
        <v>411</v>
      </c>
      <c r="D407" s="4" t="s">
        <v>31</v>
      </c>
      <c r="E407" s="4"/>
      <c r="F407" s="1">
        <v>1</v>
      </c>
    </row>
    <row r="408" spans="1:9" hidden="1" x14ac:dyDescent="0.35">
      <c r="A408" s="1">
        <v>6</v>
      </c>
      <c r="B408" s="1">
        <v>411</v>
      </c>
      <c r="C408" s="1">
        <v>593</v>
      </c>
      <c r="D408" s="1" t="s">
        <v>15</v>
      </c>
      <c r="F408" s="1">
        <v>1</v>
      </c>
    </row>
    <row r="409" spans="1:9" hidden="1" x14ac:dyDescent="0.35">
      <c r="A409" s="1">
        <v>6</v>
      </c>
      <c r="B409" s="1">
        <v>593</v>
      </c>
      <c r="C409" s="1">
        <v>601</v>
      </c>
      <c r="D409" s="1" t="s">
        <v>12</v>
      </c>
      <c r="E409" s="1" t="s">
        <v>21</v>
      </c>
      <c r="F409" s="1">
        <v>1</v>
      </c>
      <c r="I409">
        <f>C409-B409</f>
        <v>8</v>
      </c>
    </row>
    <row r="410" spans="1:9" hidden="1" x14ac:dyDescent="0.35">
      <c r="A410" s="1">
        <v>6</v>
      </c>
      <c r="B410" s="1">
        <v>601</v>
      </c>
      <c r="C410" s="1">
        <v>630</v>
      </c>
      <c r="D410" s="1" t="s">
        <v>12</v>
      </c>
      <c r="E410" s="1" t="s">
        <v>14</v>
      </c>
      <c r="F410" s="1">
        <v>1</v>
      </c>
    </row>
    <row r="411" spans="1:9" hidden="1" x14ac:dyDescent="0.35">
      <c r="A411" s="1">
        <v>6</v>
      </c>
      <c r="B411" s="1">
        <v>630</v>
      </c>
      <c r="C411" s="1">
        <v>736.00000000000011</v>
      </c>
      <c r="D411" s="4" t="s">
        <v>31</v>
      </c>
      <c r="E411" s="4"/>
      <c r="F411" s="1">
        <v>2</v>
      </c>
    </row>
    <row r="412" spans="1:9" hidden="1" x14ac:dyDescent="0.35">
      <c r="A412" s="1">
        <v>6</v>
      </c>
      <c r="B412" s="1">
        <v>736.00000000000011</v>
      </c>
      <c r="C412" s="1">
        <v>768</v>
      </c>
      <c r="D412" s="1" t="s">
        <v>15</v>
      </c>
      <c r="F412" s="1">
        <v>2</v>
      </c>
    </row>
    <row r="413" spans="1:9" hidden="1" x14ac:dyDescent="0.35">
      <c r="A413" s="1">
        <v>6</v>
      </c>
      <c r="B413" s="1">
        <v>768</v>
      </c>
      <c r="C413" s="1">
        <v>971.00000000000011</v>
      </c>
      <c r="D413" s="1" t="s">
        <v>12</v>
      </c>
      <c r="E413" s="1" t="s">
        <v>21</v>
      </c>
      <c r="F413" s="1">
        <v>2</v>
      </c>
      <c r="I413">
        <f>C413-B413</f>
        <v>203.00000000000011</v>
      </c>
    </row>
    <row r="414" spans="1:9" hidden="1" x14ac:dyDescent="0.35">
      <c r="A414" s="1">
        <v>6</v>
      </c>
      <c r="B414" s="1">
        <v>971.00000000000011</v>
      </c>
      <c r="C414" s="1">
        <v>998</v>
      </c>
      <c r="D414" s="1" t="s">
        <v>12</v>
      </c>
      <c r="E414" s="1" t="s">
        <v>14</v>
      </c>
      <c r="F414" s="1">
        <v>2</v>
      </c>
    </row>
    <row r="415" spans="1:9" hidden="1" x14ac:dyDescent="0.35">
      <c r="A415" s="1">
        <v>6</v>
      </c>
      <c r="B415" s="1">
        <v>998</v>
      </c>
      <c r="C415" s="1">
        <v>1079</v>
      </c>
      <c r="D415" s="1" t="s">
        <v>15</v>
      </c>
      <c r="E415" s="1" t="s">
        <v>29</v>
      </c>
      <c r="F415" s="1">
        <v>2</v>
      </c>
    </row>
    <row r="416" spans="1:9" hidden="1" x14ac:dyDescent="0.35">
      <c r="A416" s="1">
        <v>6</v>
      </c>
      <c r="B416" s="1">
        <v>1079</v>
      </c>
      <c r="C416" s="1">
        <v>1109</v>
      </c>
      <c r="D416" s="1" t="s">
        <v>12</v>
      </c>
      <c r="E416" s="1" t="s">
        <v>14</v>
      </c>
      <c r="F416" s="1">
        <v>2</v>
      </c>
    </row>
    <row r="417" spans="1:9" hidden="1" x14ac:dyDescent="0.35">
      <c r="A417" s="1">
        <v>6</v>
      </c>
      <c r="B417" s="1">
        <v>1109</v>
      </c>
      <c r="C417" s="1">
        <v>1169</v>
      </c>
      <c r="D417" s="4" t="s">
        <v>31</v>
      </c>
      <c r="E417" s="4"/>
      <c r="F417" s="1">
        <v>3</v>
      </c>
    </row>
    <row r="418" spans="1:9" hidden="1" x14ac:dyDescent="0.35">
      <c r="A418" s="1">
        <v>6</v>
      </c>
      <c r="B418" s="1">
        <v>1169</v>
      </c>
      <c r="C418" s="1">
        <v>1196</v>
      </c>
      <c r="D418" s="1" t="s">
        <v>15</v>
      </c>
      <c r="F418" s="1">
        <v>3</v>
      </c>
    </row>
    <row r="419" spans="1:9" hidden="1" x14ac:dyDescent="0.35">
      <c r="A419" s="1">
        <v>6</v>
      </c>
      <c r="B419" s="1">
        <v>1196</v>
      </c>
      <c r="C419" s="1">
        <v>1238</v>
      </c>
      <c r="D419" s="1" t="s">
        <v>12</v>
      </c>
      <c r="E419" s="1" t="s">
        <v>19</v>
      </c>
      <c r="F419" s="1">
        <v>3</v>
      </c>
      <c r="I419">
        <f t="shared" ref="I419:I421" si="10">C419-B419</f>
        <v>42</v>
      </c>
    </row>
    <row r="420" spans="1:9" hidden="1" x14ac:dyDescent="0.35">
      <c r="A420" s="1">
        <v>6</v>
      </c>
      <c r="B420" s="1">
        <v>1238</v>
      </c>
      <c r="C420" s="1">
        <v>1244</v>
      </c>
      <c r="D420" s="1" t="s">
        <v>12</v>
      </c>
      <c r="E420" s="1" t="s">
        <v>18</v>
      </c>
      <c r="F420" s="1">
        <v>3</v>
      </c>
      <c r="I420">
        <f t="shared" si="10"/>
        <v>6</v>
      </c>
    </row>
    <row r="421" spans="1:9" hidden="1" x14ac:dyDescent="0.35">
      <c r="A421" s="1">
        <v>6</v>
      </c>
      <c r="B421" s="1">
        <v>1244</v>
      </c>
      <c r="C421" s="1">
        <v>1308</v>
      </c>
      <c r="D421" s="3" t="s">
        <v>12</v>
      </c>
      <c r="E421" s="3" t="s">
        <v>21</v>
      </c>
      <c r="F421" s="1">
        <v>3</v>
      </c>
      <c r="I421">
        <f t="shared" si="10"/>
        <v>64</v>
      </c>
    </row>
    <row r="422" spans="1:9" hidden="1" x14ac:dyDescent="0.35">
      <c r="A422" s="1">
        <v>6</v>
      </c>
      <c r="B422" s="1">
        <v>1308</v>
      </c>
      <c r="C422" s="1">
        <v>1349</v>
      </c>
      <c r="D422" s="1" t="s">
        <v>12</v>
      </c>
      <c r="E422" s="1" t="s">
        <v>14</v>
      </c>
      <c r="F422" s="1">
        <v>3</v>
      </c>
    </row>
    <row r="423" spans="1:9" hidden="1" x14ac:dyDescent="0.35">
      <c r="A423" s="1">
        <v>6</v>
      </c>
      <c r="B423" s="1">
        <v>1349</v>
      </c>
      <c r="C423" s="1">
        <v>1453</v>
      </c>
      <c r="D423" s="1" t="s">
        <v>15</v>
      </c>
      <c r="E423" s="1" t="s">
        <v>29</v>
      </c>
      <c r="F423" s="1">
        <v>3</v>
      </c>
    </row>
    <row r="424" spans="1:9" hidden="1" x14ac:dyDescent="0.35">
      <c r="A424" s="1">
        <v>6</v>
      </c>
      <c r="B424" s="1">
        <v>1453</v>
      </c>
      <c r="C424" s="1">
        <v>1513</v>
      </c>
      <c r="D424" s="1" t="s">
        <v>12</v>
      </c>
      <c r="E424" s="1" t="s">
        <v>14</v>
      </c>
      <c r="F424" s="1">
        <v>3</v>
      </c>
    </row>
    <row r="425" spans="1:9" hidden="1" x14ac:dyDescent="0.35">
      <c r="A425" s="1">
        <v>6</v>
      </c>
      <c r="B425" s="1">
        <v>1513</v>
      </c>
      <c r="C425" s="1">
        <v>1669</v>
      </c>
      <c r="D425" s="4" t="s">
        <v>31</v>
      </c>
      <c r="E425" s="4"/>
      <c r="F425" s="1">
        <v>4</v>
      </c>
    </row>
    <row r="426" spans="1:9" hidden="1" x14ac:dyDescent="0.35">
      <c r="A426" s="1">
        <v>6</v>
      </c>
      <c r="B426" s="1">
        <v>1669</v>
      </c>
      <c r="C426" s="1">
        <v>1912</v>
      </c>
      <c r="D426" s="1" t="s">
        <v>15</v>
      </c>
      <c r="F426" s="1">
        <v>4</v>
      </c>
    </row>
    <row r="427" spans="1:9" hidden="1" x14ac:dyDescent="0.35">
      <c r="A427" s="1">
        <v>6</v>
      </c>
      <c r="B427" s="1">
        <v>1912</v>
      </c>
      <c r="C427" s="1">
        <v>2134</v>
      </c>
      <c r="D427" s="1" t="s">
        <v>12</v>
      </c>
      <c r="E427" s="1" t="s">
        <v>19</v>
      </c>
      <c r="F427" s="1">
        <v>4</v>
      </c>
      <c r="I427">
        <f>C427-B427</f>
        <v>222</v>
      </c>
    </row>
    <row r="428" spans="1:9" hidden="1" x14ac:dyDescent="0.35">
      <c r="A428" s="1">
        <v>6</v>
      </c>
      <c r="B428" s="1">
        <v>2134</v>
      </c>
      <c r="C428" s="1">
        <v>2217</v>
      </c>
      <c r="D428" s="1" t="s">
        <v>22</v>
      </c>
      <c r="E428" s="1" t="s">
        <v>14</v>
      </c>
      <c r="F428" s="1">
        <v>4</v>
      </c>
    </row>
    <row r="429" spans="1:9" hidden="1" x14ac:dyDescent="0.35">
      <c r="A429" s="1">
        <v>6</v>
      </c>
      <c r="B429" s="1">
        <v>2217</v>
      </c>
      <c r="C429" s="1">
        <v>2405</v>
      </c>
      <c r="D429" s="1" t="s">
        <v>15</v>
      </c>
      <c r="E429" s="1" t="s">
        <v>29</v>
      </c>
      <c r="F429" s="1">
        <v>4</v>
      </c>
    </row>
    <row r="430" spans="1:9" hidden="1" x14ac:dyDescent="0.35">
      <c r="A430" s="1">
        <v>6</v>
      </c>
      <c r="B430" s="1">
        <v>2405</v>
      </c>
      <c r="C430" s="1">
        <v>2456.0000000000005</v>
      </c>
      <c r="D430" s="1" t="s">
        <v>22</v>
      </c>
      <c r="E430" s="1" t="s">
        <v>14</v>
      </c>
      <c r="F430" s="1">
        <v>4</v>
      </c>
    </row>
    <row r="431" spans="1:9" hidden="1" x14ac:dyDescent="0.35">
      <c r="A431" s="1">
        <v>6</v>
      </c>
      <c r="B431" s="1">
        <v>2456.0000000000005</v>
      </c>
      <c r="C431" s="1">
        <v>2498</v>
      </c>
      <c r="D431" s="1" t="s">
        <v>15</v>
      </c>
      <c r="E431" s="1" t="s">
        <v>29</v>
      </c>
      <c r="F431" s="1">
        <v>4</v>
      </c>
    </row>
    <row r="432" spans="1:9" hidden="1" x14ac:dyDescent="0.35">
      <c r="A432" s="1">
        <v>6</v>
      </c>
      <c r="B432" s="1">
        <v>2498</v>
      </c>
      <c r="C432" s="1">
        <v>2562</v>
      </c>
      <c r="D432" s="1" t="s">
        <v>22</v>
      </c>
      <c r="E432" s="1" t="s">
        <v>14</v>
      </c>
      <c r="F432" s="1">
        <v>4</v>
      </c>
    </row>
    <row r="433" spans="1:6" hidden="1" x14ac:dyDescent="0.35">
      <c r="A433" s="1">
        <v>6</v>
      </c>
      <c r="B433" s="1">
        <v>2562</v>
      </c>
      <c r="C433" s="1">
        <v>2603</v>
      </c>
      <c r="D433" s="1" t="s">
        <v>15</v>
      </c>
      <c r="E433" s="1" t="s">
        <v>29</v>
      </c>
      <c r="F433" s="1">
        <v>4</v>
      </c>
    </row>
    <row r="434" spans="1:6" hidden="1" x14ac:dyDescent="0.35">
      <c r="A434" s="1">
        <v>6</v>
      </c>
      <c r="B434" s="1">
        <v>2603</v>
      </c>
      <c r="C434" s="1">
        <v>2638</v>
      </c>
      <c r="D434" s="1" t="s">
        <v>22</v>
      </c>
      <c r="E434" s="1" t="s">
        <v>14</v>
      </c>
      <c r="F434" s="1">
        <v>4</v>
      </c>
    </row>
    <row r="435" spans="1:6" hidden="1" x14ac:dyDescent="0.35">
      <c r="A435" s="1">
        <v>6</v>
      </c>
      <c r="B435" s="1">
        <v>2638</v>
      </c>
      <c r="C435" s="1">
        <v>2676</v>
      </c>
      <c r="D435" s="1" t="s">
        <v>15</v>
      </c>
      <c r="E435" s="1" t="s">
        <v>29</v>
      </c>
      <c r="F435" s="1">
        <v>4</v>
      </c>
    </row>
    <row r="436" spans="1:6" hidden="1" x14ac:dyDescent="0.35">
      <c r="A436" s="1">
        <v>6</v>
      </c>
      <c r="B436" s="1">
        <v>2676</v>
      </c>
      <c r="C436" s="1">
        <v>2708</v>
      </c>
      <c r="D436" s="1" t="s">
        <v>22</v>
      </c>
      <c r="E436" s="1" t="s">
        <v>14</v>
      </c>
      <c r="F436" s="1">
        <v>4</v>
      </c>
    </row>
    <row r="437" spans="1:6" hidden="1" x14ac:dyDescent="0.35">
      <c r="A437" s="1">
        <v>6</v>
      </c>
      <c r="B437" s="1">
        <v>2708</v>
      </c>
      <c r="C437" s="1">
        <v>2744</v>
      </c>
      <c r="D437" s="1" t="s">
        <v>15</v>
      </c>
      <c r="E437" s="1" t="s">
        <v>29</v>
      </c>
      <c r="F437" s="1">
        <v>4</v>
      </c>
    </row>
    <row r="438" spans="1:6" hidden="1" x14ac:dyDescent="0.35">
      <c r="A438" s="1">
        <v>6</v>
      </c>
      <c r="B438" s="1">
        <v>2744</v>
      </c>
      <c r="C438" s="1">
        <v>2772</v>
      </c>
      <c r="D438" s="1" t="s">
        <v>22</v>
      </c>
      <c r="E438" s="1" t="s">
        <v>14</v>
      </c>
      <c r="F438" s="1">
        <v>4</v>
      </c>
    </row>
    <row r="439" spans="1:6" hidden="1" x14ac:dyDescent="0.35">
      <c r="A439" s="1">
        <v>6</v>
      </c>
      <c r="B439" s="1">
        <v>2772</v>
      </c>
      <c r="C439" s="1">
        <v>2810</v>
      </c>
      <c r="D439" s="1" t="s">
        <v>15</v>
      </c>
      <c r="E439" s="1" t="s">
        <v>29</v>
      </c>
      <c r="F439" s="1">
        <v>4</v>
      </c>
    </row>
    <row r="440" spans="1:6" hidden="1" x14ac:dyDescent="0.35">
      <c r="A440" s="1">
        <v>6</v>
      </c>
      <c r="B440" s="1">
        <v>2810</v>
      </c>
      <c r="C440" s="1">
        <v>2870</v>
      </c>
      <c r="D440" s="1" t="s">
        <v>26</v>
      </c>
      <c r="E440" s="1" t="s">
        <v>16</v>
      </c>
      <c r="F440" s="1">
        <v>4</v>
      </c>
    </row>
    <row r="441" spans="1:6" hidden="1" x14ac:dyDescent="0.35">
      <c r="A441" s="1">
        <v>6</v>
      </c>
      <c r="B441" s="1">
        <v>2870</v>
      </c>
      <c r="C441" s="1">
        <v>2925</v>
      </c>
      <c r="D441" s="1" t="s">
        <v>22</v>
      </c>
      <c r="E441" s="1" t="s">
        <v>14</v>
      </c>
      <c r="F441" s="1">
        <v>4</v>
      </c>
    </row>
    <row r="442" spans="1:6" hidden="1" x14ac:dyDescent="0.35">
      <c r="A442" s="1">
        <v>6</v>
      </c>
      <c r="B442" s="1">
        <v>2925</v>
      </c>
      <c r="C442" s="1">
        <v>2966</v>
      </c>
      <c r="D442" s="1" t="s">
        <v>15</v>
      </c>
      <c r="E442" s="1" t="s">
        <v>29</v>
      </c>
      <c r="F442" s="1">
        <v>4</v>
      </c>
    </row>
    <row r="443" spans="1:6" hidden="1" x14ac:dyDescent="0.35">
      <c r="A443" s="1">
        <v>6</v>
      </c>
      <c r="B443" s="1">
        <v>2966</v>
      </c>
      <c r="C443" s="1">
        <v>3000</v>
      </c>
      <c r="D443" s="1" t="s">
        <v>22</v>
      </c>
      <c r="E443" s="1" t="s">
        <v>14</v>
      </c>
      <c r="F443" s="1">
        <v>4</v>
      </c>
    </row>
    <row r="444" spans="1:6" hidden="1" x14ac:dyDescent="0.35">
      <c r="A444" s="1">
        <v>6</v>
      </c>
      <c r="B444" s="1">
        <v>3000</v>
      </c>
      <c r="C444" s="1">
        <v>3038</v>
      </c>
      <c r="D444" s="1" t="s">
        <v>15</v>
      </c>
      <c r="E444" s="1" t="s">
        <v>29</v>
      </c>
      <c r="F444" s="1">
        <v>4</v>
      </c>
    </row>
    <row r="445" spans="1:6" hidden="1" x14ac:dyDescent="0.35">
      <c r="A445" s="1">
        <v>6</v>
      </c>
      <c r="B445" s="1">
        <v>3038</v>
      </c>
      <c r="C445" s="1">
        <v>3067</v>
      </c>
      <c r="D445" s="1" t="s">
        <v>22</v>
      </c>
      <c r="E445" s="1" t="s">
        <v>14</v>
      </c>
      <c r="F445" s="1">
        <v>4</v>
      </c>
    </row>
    <row r="446" spans="1:6" hidden="1" x14ac:dyDescent="0.35">
      <c r="A446" s="1">
        <v>6</v>
      </c>
      <c r="B446" s="1">
        <v>3067</v>
      </c>
      <c r="C446" s="1">
        <v>3224</v>
      </c>
      <c r="D446" s="8"/>
      <c r="E446" s="8"/>
      <c r="F446" s="1">
        <v>4</v>
      </c>
    </row>
    <row r="447" spans="1:6" hidden="1" x14ac:dyDescent="0.35">
      <c r="A447" s="1">
        <v>6</v>
      </c>
      <c r="B447" s="1">
        <v>3224</v>
      </c>
      <c r="C447" s="1">
        <v>3263</v>
      </c>
      <c r="D447" s="1" t="s">
        <v>22</v>
      </c>
      <c r="E447" s="1" t="s">
        <v>14</v>
      </c>
      <c r="F447" s="1">
        <v>4</v>
      </c>
    </row>
    <row r="448" spans="1:6" hidden="1" x14ac:dyDescent="0.35">
      <c r="A448" s="1">
        <v>6</v>
      </c>
      <c r="B448" s="1">
        <v>3263</v>
      </c>
      <c r="C448" s="1">
        <v>3292</v>
      </c>
      <c r="D448" s="1" t="s">
        <v>15</v>
      </c>
      <c r="E448" s="1" t="s">
        <v>29</v>
      </c>
      <c r="F448" s="1">
        <v>4</v>
      </c>
    </row>
    <row r="449" spans="1:6" hidden="1" x14ac:dyDescent="0.35">
      <c r="A449" s="1">
        <v>6</v>
      </c>
      <c r="B449" s="1">
        <v>3292</v>
      </c>
      <c r="C449" s="1">
        <v>3321.9999999999995</v>
      </c>
      <c r="D449" s="1" t="s">
        <v>22</v>
      </c>
      <c r="E449" s="1" t="s">
        <v>14</v>
      </c>
      <c r="F449" s="1">
        <v>4</v>
      </c>
    </row>
    <row r="450" spans="1:6" hidden="1" x14ac:dyDescent="0.35">
      <c r="A450" s="1">
        <v>6</v>
      </c>
      <c r="B450" s="1">
        <v>3321.9999999999995</v>
      </c>
      <c r="C450" s="1">
        <v>3353</v>
      </c>
      <c r="D450" s="1" t="s">
        <v>15</v>
      </c>
      <c r="E450" s="1" t="s">
        <v>29</v>
      </c>
      <c r="F450" s="1">
        <v>4</v>
      </c>
    </row>
    <row r="451" spans="1:6" hidden="1" x14ac:dyDescent="0.35">
      <c r="A451" s="1">
        <v>6</v>
      </c>
      <c r="B451" s="1">
        <v>3353</v>
      </c>
      <c r="C451" s="1">
        <v>3387.0000000000005</v>
      </c>
      <c r="D451" s="1" t="s">
        <v>22</v>
      </c>
      <c r="E451" s="1" t="s">
        <v>14</v>
      </c>
      <c r="F451" s="1">
        <v>4</v>
      </c>
    </row>
    <row r="452" spans="1:6" hidden="1" x14ac:dyDescent="0.35">
      <c r="A452" s="1">
        <v>6</v>
      </c>
      <c r="B452" s="1">
        <v>3387.0000000000005</v>
      </c>
      <c r="C452" s="1">
        <v>3414</v>
      </c>
      <c r="D452" s="1" t="s">
        <v>15</v>
      </c>
      <c r="E452" s="1" t="s">
        <v>29</v>
      </c>
      <c r="F452" s="1">
        <v>4</v>
      </c>
    </row>
    <row r="453" spans="1:6" hidden="1" x14ac:dyDescent="0.35">
      <c r="A453" s="1">
        <v>6</v>
      </c>
      <c r="B453" s="1">
        <v>3414</v>
      </c>
      <c r="C453" s="1">
        <v>3462</v>
      </c>
      <c r="D453" s="1" t="s">
        <v>22</v>
      </c>
      <c r="E453" s="1" t="s">
        <v>14</v>
      </c>
      <c r="F453" s="1">
        <v>4</v>
      </c>
    </row>
    <row r="454" spans="1:6" hidden="1" x14ac:dyDescent="0.35">
      <c r="A454" s="1">
        <v>6</v>
      </c>
      <c r="B454" s="1">
        <v>3462</v>
      </c>
      <c r="C454" s="1">
        <v>3548</v>
      </c>
      <c r="D454" s="1" t="s">
        <v>15</v>
      </c>
      <c r="E454" s="1" t="s">
        <v>29</v>
      </c>
      <c r="F454" s="1">
        <v>4</v>
      </c>
    </row>
    <row r="455" spans="1:6" hidden="1" x14ac:dyDescent="0.35">
      <c r="A455" s="1">
        <v>6</v>
      </c>
      <c r="B455" s="1">
        <v>3548</v>
      </c>
      <c r="C455" s="1">
        <v>3572</v>
      </c>
      <c r="D455" s="1" t="s">
        <v>22</v>
      </c>
      <c r="E455" s="1" t="s">
        <v>14</v>
      </c>
      <c r="F455" s="1">
        <v>4</v>
      </c>
    </row>
    <row r="456" spans="1:6" hidden="1" x14ac:dyDescent="0.35">
      <c r="A456" s="1">
        <v>6</v>
      </c>
      <c r="B456" s="1">
        <v>3572</v>
      </c>
      <c r="C456" s="1">
        <v>3605</v>
      </c>
      <c r="D456" s="1" t="s">
        <v>15</v>
      </c>
      <c r="E456" s="1" t="s">
        <v>29</v>
      </c>
      <c r="F456" s="1">
        <v>4</v>
      </c>
    </row>
    <row r="457" spans="1:6" hidden="1" x14ac:dyDescent="0.35">
      <c r="A457" s="1">
        <v>6</v>
      </c>
      <c r="B457" s="1">
        <v>3605</v>
      </c>
      <c r="C457" s="1">
        <v>3647</v>
      </c>
      <c r="D457" s="1" t="s">
        <v>22</v>
      </c>
      <c r="E457" s="1" t="s">
        <v>14</v>
      </c>
      <c r="F457" s="1">
        <v>4</v>
      </c>
    </row>
    <row r="458" spans="1:6" hidden="1" x14ac:dyDescent="0.35">
      <c r="A458" s="1">
        <v>6</v>
      </c>
      <c r="B458" s="1">
        <v>3647</v>
      </c>
      <c r="C458" s="1">
        <v>3679</v>
      </c>
      <c r="D458" s="1" t="s">
        <v>15</v>
      </c>
      <c r="E458" s="1" t="s">
        <v>29</v>
      </c>
      <c r="F458" s="1">
        <v>4</v>
      </c>
    </row>
    <row r="459" spans="1:6" hidden="1" x14ac:dyDescent="0.35">
      <c r="A459" s="1">
        <v>6</v>
      </c>
      <c r="B459" s="1">
        <v>3679</v>
      </c>
      <c r="C459" s="1">
        <v>3724</v>
      </c>
      <c r="D459" s="1" t="s">
        <v>22</v>
      </c>
      <c r="E459" s="1" t="s">
        <v>14</v>
      </c>
      <c r="F459" s="1">
        <v>4</v>
      </c>
    </row>
    <row r="460" spans="1:6" hidden="1" x14ac:dyDescent="0.35">
      <c r="A460" s="1">
        <v>6</v>
      </c>
      <c r="B460" s="1">
        <v>3724</v>
      </c>
      <c r="C460" s="1">
        <v>3752</v>
      </c>
      <c r="D460" s="1" t="s">
        <v>15</v>
      </c>
      <c r="E460" s="1" t="s">
        <v>29</v>
      </c>
      <c r="F460" s="1">
        <v>4</v>
      </c>
    </row>
    <row r="461" spans="1:6" hidden="1" x14ac:dyDescent="0.35">
      <c r="A461" s="1">
        <v>6</v>
      </c>
      <c r="B461" s="1">
        <v>3752</v>
      </c>
      <c r="C461" s="1">
        <v>3814</v>
      </c>
      <c r="D461" s="1" t="s">
        <v>22</v>
      </c>
      <c r="E461" s="1" t="s">
        <v>14</v>
      </c>
      <c r="F461" s="1">
        <v>4</v>
      </c>
    </row>
    <row r="462" spans="1:6" hidden="1" x14ac:dyDescent="0.35">
      <c r="A462" s="1">
        <v>6</v>
      </c>
      <c r="B462" s="1">
        <v>3814</v>
      </c>
      <c r="C462" s="1">
        <v>3872</v>
      </c>
      <c r="D462" s="1" t="s">
        <v>15</v>
      </c>
      <c r="E462" s="1" t="s">
        <v>29</v>
      </c>
      <c r="F462" s="1">
        <v>4</v>
      </c>
    </row>
    <row r="463" spans="1:6" hidden="1" x14ac:dyDescent="0.35">
      <c r="A463" s="1">
        <v>6</v>
      </c>
      <c r="B463" s="1">
        <v>3872</v>
      </c>
      <c r="C463" s="1">
        <v>3934</v>
      </c>
      <c r="D463" s="1" t="s">
        <v>22</v>
      </c>
      <c r="E463" s="1" t="s">
        <v>14</v>
      </c>
      <c r="F463" s="1">
        <v>4</v>
      </c>
    </row>
    <row r="464" spans="1:6" hidden="1" x14ac:dyDescent="0.35">
      <c r="A464" s="1">
        <v>6</v>
      </c>
      <c r="B464" s="1">
        <v>3934</v>
      </c>
      <c r="C464" s="1">
        <v>3963</v>
      </c>
      <c r="D464" s="1" t="s">
        <v>15</v>
      </c>
      <c r="E464" s="1" t="s">
        <v>29</v>
      </c>
      <c r="F464" s="1">
        <v>4</v>
      </c>
    </row>
    <row r="465" spans="1:9" hidden="1" x14ac:dyDescent="0.35">
      <c r="A465" s="1">
        <v>6</v>
      </c>
      <c r="B465" s="1">
        <v>3963</v>
      </c>
      <c r="C465" s="1">
        <v>4076</v>
      </c>
      <c r="D465" s="1" t="s">
        <v>22</v>
      </c>
      <c r="E465" s="1" t="s">
        <v>14</v>
      </c>
      <c r="F465" s="1">
        <v>4</v>
      </c>
    </row>
    <row r="466" spans="1:9" hidden="1" x14ac:dyDescent="0.35">
      <c r="A466" s="1">
        <v>6</v>
      </c>
      <c r="B466" s="1">
        <v>4076</v>
      </c>
      <c r="C466" s="1">
        <v>4103</v>
      </c>
      <c r="D466" s="1" t="s">
        <v>15</v>
      </c>
      <c r="E466" s="1" t="s">
        <v>29</v>
      </c>
      <c r="F466" s="1">
        <v>4</v>
      </c>
    </row>
    <row r="467" spans="1:9" hidden="1" x14ac:dyDescent="0.35">
      <c r="A467" s="1">
        <v>6</v>
      </c>
      <c r="B467" s="1">
        <v>4103</v>
      </c>
      <c r="C467" s="1">
        <v>4209</v>
      </c>
      <c r="D467" s="1" t="s">
        <v>22</v>
      </c>
      <c r="E467" s="1" t="s">
        <v>14</v>
      </c>
      <c r="F467" s="1">
        <v>4</v>
      </c>
    </row>
    <row r="468" spans="1:9" hidden="1" x14ac:dyDescent="0.35">
      <c r="A468" s="1">
        <v>6</v>
      </c>
      <c r="B468" s="1">
        <v>4209</v>
      </c>
      <c r="C468" s="1">
        <v>4248</v>
      </c>
      <c r="D468" s="1" t="s">
        <v>15</v>
      </c>
      <c r="E468" s="1" t="s">
        <v>29</v>
      </c>
      <c r="F468" s="1">
        <v>4</v>
      </c>
    </row>
    <row r="469" spans="1:9" hidden="1" x14ac:dyDescent="0.35">
      <c r="A469" s="1">
        <v>6</v>
      </c>
      <c r="B469" s="1">
        <v>4248</v>
      </c>
      <c r="C469" s="1">
        <v>4402</v>
      </c>
      <c r="D469" s="1" t="s">
        <v>22</v>
      </c>
      <c r="E469" s="1" t="s">
        <v>14</v>
      </c>
      <c r="F469" s="1">
        <v>4</v>
      </c>
    </row>
    <row r="470" spans="1:9" hidden="1" x14ac:dyDescent="0.35">
      <c r="A470" s="1">
        <v>6</v>
      </c>
      <c r="B470" s="1">
        <v>4402</v>
      </c>
      <c r="C470" s="1">
        <v>4430</v>
      </c>
      <c r="D470" s="1" t="s">
        <v>15</v>
      </c>
      <c r="E470" s="1" t="s">
        <v>29</v>
      </c>
      <c r="F470" s="1">
        <v>4</v>
      </c>
    </row>
    <row r="471" spans="1:9" hidden="1" x14ac:dyDescent="0.35">
      <c r="A471" s="1">
        <v>6</v>
      </c>
      <c r="B471" s="1">
        <v>4430</v>
      </c>
      <c r="C471" s="1">
        <v>4657</v>
      </c>
      <c r="D471" s="4" t="s">
        <v>12</v>
      </c>
      <c r="E471" s="4" t="s">
        <v>19</v>
      </c>
      <c r="F471" s="1">
        <v>4</v>
      </c>
      <c r="I471">
        <f>C471-B471</f>
        <v>227</v>
      </c>
    </row>
    <row r="472" spans="1:9" hidden="1" x14ac:dyDescent="0.35">
      <c r="A472" s="1">
        <v>6</v>
      </c>
      <c r="B472" s="1">
        <v>4657</v>
      </c>
      <c r="C472" s="1">
        <v>4725</v>
      </c>
      <c r="F472" s="1">
        <v>4</v>
      </c>
    </row>
    <row r="473" spans="1:9" hidden="1" x14ac:dyDescent="0.35">
      <c r="A473" s="1">
        <v>6</v>
      </c>
      <c r="B473" s="11">
        <v>4725</v>
      </c>
      <c r="C473" s="11">
        <v>4789</v>
      </c>
      <c r="D473" s="4" t="s">
        <v>12</v>
      </c>
      <c r="E473" s="4" t="s">
        <v>19</v>
      </c>
      <c r="F473" s="1">
        <v>4</v>
      </c>
      <c r="I473">
        <f>C473-B473</f>
        <v>64</v>
      </c>
    </row>
    <row r="474" spans="1:9" hidden="1" x14ac:dyDescent="0.35">
      <c r="A474" s="1">
        <v>6</v>
      </c>
      <c r="B474" s="1">
        <v>4789</v>
      </c>
      <c r="C474" s="1">
        <v>5389</v>
      </c>
      <c r="F474" s="1">
        <v>4</v>
      </c>
    </row>
    <row r="475" spans="1:9" hidden="1" x14ac:dyDescent="0.35">
      <c r="A475" s="1">
        <v>6</v>
      </c>
      <c r="B475" s="11">
        <v>5389</v>
      </c>
      <c r="C475" s="11">
        <v>5396</v>
      </c>
      <c r="D475" s="4" t="s">
        <v>12</v>
      </c>
      <c r="E475" s="4" t="s">
        <v>19</v>
      </c>
      <c r="F475" s="1">
        <v>4</v>
      </c>
      <c r="I475">
        <f>C475-B475</f>
        <v>7</v>
      </c>
    </row>
    <row r="476" spans="1:9" hidden="1" x14ac:dyDescent="0.35">
      <c r="A476" s="1">
        <v>6</v>
      </c>
      <c r="B476" s="1">
        <v>5396</v>
      </c>
      <c r="C476" s="1">
        <v>5622</v>
      </c>
      <c r="F476" s="1">
        <v>4</v>
      </c>
    </row>
    <row r="477" spans="1:9" hidden="1" x14ac:dyDescent="0.35">
      <c r="A477" s="2">
        <v>6</v>
      </c>
      <c r="B477" s="12">
        <v>5622</v>
      </c>
      <c r="C477" s="12">
        <v>5661</v>
      </c>
      <c r="D477" s="5" t="s">
        <v>12</v>
      </c>
      <c r="E477" s="5" t="s">
        <v>19</v>
      </c>
      <c r="F477" s="2">
        <v>4</v>
      </c>
      <c r="I477">
        <f>C477-B477</f>
        <v>39</v>
      </c>
    </row>
    <row r="478" spans="1:9" hidden="1" x14ac:dyDescent="0.35">
      <c r="A478" s="1">
        <v>7</v>
      </c>
      <c r="B478" s="1">
        <v>75</v>
      </c>
      <c r="C478" s="1">
        <v>118</v>
      </c>
      <c r="D478" s="1" t="s">
        <v>17</v>
      </c>
      <c r="E478" s="1" t="s">
        <v>14</v>
      </c>
      <c r="F478" s="1">
        <v>0</v>
      </c>
    </row>
    <row r="479" spans="1:9" hidden="1" x14ac:dyDescent="0.35">
      <c r="A479" s="1">
        <v>7</v>
      </c>
      <c r="B479" s="1">
        <v>118</v>
      </c>
      <c r="C479" s="1">
        <v>157</v>
      </c>
      <c r="D479" s="1" t="s">
        <v>26</v>
      </c>
      <c r="E479" s="1" t="s">
        <v>16</v>
      </c>
      <c r="F479" s="1">
        <v>0</v>
      </c>
    </row>
    <row r="480" spans="1:9" hidden="1" x14ac:dyDescent="0.35">
      <c r="A480" s="1">
        <v>7</v>
      </c>
      <c r="B480" s="1">
        <v>157</v>
      </c>
      <c r="C480" s="1">
        <v>212</v>
      </c>
      <c r="D480" s="1" t="s">
        <v>12</v>
      </c>
      <c r="E480" s="1" t="s">
        <v>14</v>
      </c>
      <c r="F480" s="1">
        <v>0</v>
      </c>
    </row>
    <row r="481" spans="1:9" hidden="1" x14ac:dyDescent="0.35">
      <c r="A481" s="1">
        <v>7</v>
      </c>
      <c r="B481" s="1">
        <v>212</v>
      </c>
      <c r="C481" s="1">
        <v>349</v>
      </c>
      <c r="D481" s="1" t="s">
        <v>17</v>
      </c>
      <c r="E481" s="1" t="s">
        <v>33</v>
      </c>
      <c r="F481" s="1">
        <v>0</v>
      </c>
    </row>
    <row r="482" spans="1:9" hidden="1" x14ac:dyDescent="0.35">
      <c r="A482" s="1">
        <v>7</v>
      </c>
      <c r="B482" s="1">
        <v>349</v>
      </c>
      <c r="C482" s="1">
        <v>375</v>
      </c>
      <c r="D482" s="1" t="s">
        <v>26</v>
      </c>
      <c r="E482" s="1" t="s">
        <v>16</v>
      </c>
      <c r="F482" s="1">
        <v>0</v>
      </c>
    </row>
    <row r="483" spans="1:9" hidden="1" x14ac:dyDescent="0.35">
      <c r="A483" s="1">
        <v>7</v>
      </c>
      <c r="B483" s="1">
        <v>375</v>
      </c>
      <c r="C483" s="1">
        <v>430</v>
      </c>
      <c r="D483" s="1" t="s">
        <v>12</v>
      </c>
      <c r="E483" s="1" t="s">
        <v>14</v>
      </c>
      <c r="F483" s="1">
        <v>0</v>
      </c>
    </row>
    <row r="484" spans="1:9" hidden="1" x14ac:dyDescent="0.35">
      <c r="A484" s="1">
        <v>7</v>
      </c>
      <c r="B484" s="1">
        <v>430</v>
      </c>
      <c r="C484" s="1">
        <v>458</v>
      </c>
      <c r="D484" s="1" t="s">
        <v>17</v>
      </c>
      <c r="E484" s="1" t="s">
        <v>29</v>
      </c>
      <c r="F484" s="1">
        <v>0</v>
      </c>
    </row>
    <row r="485" spans="1:9" hidden="1" x14ac:dyDescent="0.35">
      <c r="A485" s="1">
        <v>7</v>
      </c>
      <c r="B485" s="1">
        <v>458</v>
      </c>
      <c r="C485" s="1">
        <v>540</v>
      </c>
      <c r="D485" s="4" t="s">
        <v>31</v>
      </c>
      <c r="E485" s="4"/>
      <c r="F485" s="1">
        <v>1</v>
      </c>
    </row>
    <row r="486" spans="1:9" hidden="1" x14ac:dyDescent="0.35">
      <c r="A486" s="1">
        <v>7</v>
      </c>
      <c r="B486" s="1">
        <v>540</v>
      </c>
      <c r="C486" s="1">
        <v>645</v>
      </c>
      <c r="D486" s="1" t="s">
        <v>15</v>
      </c>
      <c r="E486" s="1" t="s">
        <v>16</v>
      </c>
      <c r="F486" s="1">
        <v>1</v>
      </c>
    </row>
    <row r="487" spans="1:9" hidden="1" x14ac:dyDescent="0.35">
      <c r="A487" s="1">
        <v>7</v>
      </c>
      <c r="B487" s="1">
        <v>645</v>
      </c>
      <c r="C487" s="1">
        <v>697</v>
      </c>
      <c r="D487" s="1" t="s">
        <v>17</v>
      </c>
      <c r="E487" s="1" t="s">
        <v>18</v>
      </c>
      <c r="F487" s="1">
        <v>1</v>
      </c>
    </row>
    <row r="488" spans="1:9" hidden="1" x14ac:dyDescent="0.35">
      <c r="A488" s="1">
        <v>7</v>
      </c>
      <c r="B488" s="1">
        <v>697</v>
      </c>
      <c r="C488" s="1">
        <v>725</v>
      </c>
      <c r="D488" t="s">
        <v>26</v>
      </c>
      <c r="E488" s="1" t="s">
        <v>18</v>
      </c>
      <c r="F488" s="1">
        <v>1</v>
      </c>
    </row>
    <row r="489" spans="1:9" hidden="1" x14ac:dyDescent="0.35">
      <c r="A489" s="1">
        <v>7</v>
      </c>
      <c r="B489" s="1">
        <v>725</v>
      </c>
      <c r="C489" s="1">
        <v>765</v>
      </c>
      <c r="D489" s="3" t="s">
        <v>12</v>
      </c>
      <c r="E489" s="3" t="s">
        <v>21</v>
      </c>
      <c r="F489" s="1">
        <v>1</v>
      </c>
      <c r="G489">
        <f>SUM(I489:I584)</f>
        <v>210</v>
      </c>
      <c r="I489">
        <f>C489-B489</f>
        <v>40</v>
      </c>
    </row>
    <row r="490" spans="1:9" hidden="1" x14ac:dyDescent="0.35">
      <c r="A490" s="1">
        <v>7</v>
      </c>
      <c r="B490" s="1">
        <v>765</v>
      </c>
      <c r="C490" s="1">
        <v>793.00000000000011</v>
      </c>
      <c r="D490" s="1" t="s">
        <v>12</v>
      </c>
      <c r="E490" s="1" t="s">
        <v>14</v>
      </c>
      <c r="F490" s="1">
        <v>1</v>
      </c>
    </row>
    <row r="491" spans="1:9" hidden="1" x14ac:dyDescent="0.35">
      <c r="A491" s="1">
        <v>7</v>
      </c>
      <c r="B491" s="1">
        <v>793.00000000000011</v>
      </c>
      <c r="C491" s="1">
        <v>823</v>
      </c>
      <c r="D491" s="1" t="s">
        <v>15</v>
      </c>
      <c r="E491" s="1" t="s">
        <v>29</v>
      </c>
      <c r="F491" s="1">
        <v>1</v>
      </c>
    </row>
    <row r="492" spans="1:9" hidden="1" x14ac:dyDescent="0.35">
      <c r="A492" s="1">
        <v>7</v>
      </c>
      <c r="B492" s="1">
        <v>823</v>
      </c>
      <c r="C492" s="1">
        <v>891</v>
      </c>
      <c r="D492" s="1" t="s">
        <v>22</v>
      </c>
      <c r="E492" s="1" t="s">
        <v>14</v>
      </c>
      <c r="F492" s="1">
        <v>1</v>
      </c>
    </row>
    <row r="493" spans="1:9" hidden="1" x14ac:dyDescent="0.35">
      <c r="A493" s="1">
        <v>7</v>
      </c>
      <c r="B493" s="1">
        <v>891</v>
      </c>
      <c r="C493" s="1">
        <v>910</v>
      </c>
      <c r="D493" s="1" t="s">
        <v>15</v>
      </c>
      <c r="E493" s="1" t="s">
        <v>29</v>
      </c>
      <c r="F493" s="1">
        <v>1</v>
      </c>
    </row>
    <row r="494" spans="1:9" hidden="1" x14ac:dyDescent="0.35">
      <c r="A494" s="1">
        <v>7</v>
      </c>
      <c r="B494" s="1">
        <v>910</v>
      </c>
      <c r="C494" s="1">
        <v>975</v>
      </c>
      <c r="D494" s="1" t="s">
        <v>22</v>
      </c>
      <c r="E494" s="1" t="s">
        <v>14</v>
      </c>
      <c r="F494" s="1">
        <v>1</v>
      </c>
    </row>
    <row r="495" spans="1:9" hidden="1" x14ac:dyDescent="0.35">
      <c r="A495" s="1">
        <v>7</v>
      </c>
      <c r="B495" s="1">
        <v>975</v>
      </c>
      <c r="C495" s="1">
        <v>987</v>
      </c>
      <c r="D495" s="1" t="s">
        <v>15</v>
      </c>
      <c r="E495" s="1" t="s">
        <v>29</v>
      </c>
      <c r="F495" s="1">
        <v>1</v>
      </c>
    </row>
    <row r="496" spans="1:9" hidden="1" x14ac:dyDescent="0.35">
      <c r="A496" s="1">
        <v>7</v>
      </c>
      <c r="B496" s="1">
        <v>987</v>
      </c>
      <c r="C496" s="1">
        <v>1028.9999999999998</v>
      </c>
      <c r="D496" s="1" t="s">
        <v>22</v>
      </c>
      <c r="E496" s="1" t="s">
        <v>14</v>
      </c>
      <c r="F496" s="1">
        <v>1</v>
      </c>
    </row>
    <row r="497" spans="1:9" hidden="1" x14ac:dyDescent="0.35">
      <c r="A497" s="1">
        <v>7</v>
      </c>
      <c r="B497" s="1">
        <v>1028.9999999999998</v>
      </c>
      <c r="C497" s="1">
        <v>1055</v>
      </c>
      <c r="D497" s="1" t="s">
        <v>15</v>
      </c>
      <c r="E497" s="1" t="s">
        <v>29</v>
      </c>
      <c r="F497" s="1">
        <v>1</v>
      </c>
    </row>
    <row r="498" spans="1:9" hidden="1" x14ac:dyDescent="0.35">
      <c r="A498" s="1">
        <v>7</v>
      </c>
      <c r="B498" s="1">
        <v>1055</v>
      </c>
      <c r="C498" s="1">
        <v>1080</v>
      </c>
      <c r="D498" s="4" t="s">
        <v>12</v>
      </c>
      <c r="E498" s="4" t="s">
        <v>19</v>
      </c>
      <c r="F498" s="1">
        <v>1</v>
      </c>
      <c r="I498">
        <f>C498-B498</f>
        <v>25</v>
      </c>
    </row>
    <row r="499" spans="1:9" hidden="1" x14ac:dyDescent="0.35">
      <c r="A499" s="1">
        <v>7</v>
      </c>
      <c r="B499" s="1">
        <v>1080</v>
      </c>
      <c r="C499" s="1">
        <v>1111</v>
      </c>
      <c r="D499" s="1" t="s">
        <v>22</v>
      </c>
      <c r="E499" s="1" t="s">
        <v>14</v>
      </c>
      <c r="F499" s="1">
        <v>1</v>
      </c>
    </row>
    <row r="500" spans="1:9" hidden="1" x14ac:dyDescent="0.35">
      <c r="A500" s="1">
        <v>7</v>
      </c>
      <c r="B500" s="1">
        <v>1111</v>
      </c>
      <c r="C500" s="1">
        <v>1125</v>
      </c>
      <c r="D500" s="1" t="s">
        <v>15</v>
      </c>
      <c r="E500" s="1" t="s">
        <v>29</v>
      </c>
      <c r="F500" s="1">
        <v>1</v>
      </c>
    </row>
    <row r="501" spans="1:9" hidden="1" x14ac:dyDescent="0.35">
      <c r="A501" s="1">
        <v>7</v>
      </c>
      <c r="B501" s="1">
        <v>1125</v>
      </c>
      <c r="C501" s="1">
        <v>1167.9999999999998</v>
      </c>
      <c r="D501" s="1" t="s">
        <v>22</v>
      </c>
      <c r="E501" s="1" t="s">
        <v>14</v>
      </c>
      <c r="F501" s="1">
        <v>1</v>
      </c>
    </row>
    <row r="502" spans="1:9" hidden="1" x14ac:dyDescent="0.35">
      <c r="A502" s="1">
        <v>7</v>
      </c>
      <c r="B502" s="1">
        <v>1167.9999999999998</v>
      </c>
      <c r="C502" s="1">
        <v>1185</v>
      </c>
      <c r="D502" s="1" t="s">
        <v>15</v>
      </c>
      <c r="E502" s="1" t="s">
        <v>29</v>
      </c>
      <c r="F502" s="1">
        <v>1</v>
      </c>
    </row>
    <row r="503" spans="1:9" hidden="1" x14ac:dyDescent="0.35">
      <c r="A503" s="1">
        <v>7</v>
      </c>
      <c r="B503" s="1">
        <v>1185</v>
      </c>
      <c r="C503" s="1">
        <v>1218</v>
      </c>
      <c r="D503" s="1" t="s">
        <v>22</v>
      </c>
      <c r="E503" s="1" t="s">
        <v>14</v>
      </c>
      <c r="F503" s="1">
        <v>1</v>
      </c>
    </row>
    <row r="504" spans="1:9" hidden="1" x14ac:dyDescent="0.35">
      <c r="A504" s="1">
        <v>7</v>
      </c>
      <c r="B504" s="1">
        <v>1218</v>
      </c>
      <c r="C504" s="1">
        <v>1232</v>
      </c>
      <c r="D504" s="1" t="s">
        <v>15</v>
      </c>
      <c r="E504" s="1" t="s">
        <v>29</v>
      </c>
      <c r="F504" s="1">
        <v>1</v>
      </c>
    </row>
    <row r="505" spans="1:9" hidden="1" x14ac:dyDescent="0.35">
      <c r="A505" s="1">
        <v>7</v>
      </c>
      <c r="B505" s="1">
        <v>1232</v>
      </c>
      <c r="C505" s="1">
        <v>1259</v>
      </c>
      <c r="D505" s="1" t="s">
        <v>22</v>
      </c>
      <c r="E505" s="1" t="s">
        <v>14</v>
      </c>
      <c r="F505" s="1">
        <v>1</v>
      </c>
    </row>
    <row r="506" spans="1:9" hidden="1" x14ac:dyDescent="0.35">
      <c r="A506" s="1">
        <v>7</v>
      </c>
      <c r="B506" s="1">
        <v>1259</v>
      </c>
      <c r="C506" s="1">
        <v>1272</v>
      </c>
      <c r="D506" s="1" t="s">
        <v>15</v>
      </c>
      <c r="E506" s="1" t="s">
        <v>29</v>
      </c>
      <c r="F506" s="1">
        <v>1</v>
      </c>
    </row>
    <row r="507" spans="1:9" hidden="1" x14ac:dyDescent="0.35">
      <c r="A507" s="1">
        <v>7</v>
      </c>
      <c r="B507" s="1">
        <v>1272</v>
      </c>
      <c r="C507" s="1">
        <v>1320</v>
      </c>
      <c r="D507" s="1" t="s">
        <v>22</v>
      </c>
      <c r="E507" s="1" t="s">
        <v>14</v>
      </c>
      <c r="F507" s="1">
        <v>1</v>
      </c>
    </row>
    <row r="508" spans="1:9" hidden="1" x14ac:dyDescent="0.35">
      <c r="A508" s="1">
        <v>7</v>
      </c>
      <c r="B508" s="1">
        <v>1320</v>
      </c>
      <c r="C508" s="1">
        <v>1333</v>
      </c>
      <c r="D508" s="1" t="s">
        <v>15</v>
      </c>
      <c r="E508" s="1" t="s">
        <v>29</v>
      </c>
      <c r="F508" s="1">
        <v>1</v>
      </c>
    </row>
    <row r="509" spans="1:9" hidden="1" x14ac:dyDescent="0.35">
      <c r="A509" s="1">
        <v>7</v>
      </c>
      <c r="B509" s="1">
        <v>1333</v>
      </c>
      <c r="C509" s="1">
        <v>1388.9999999999998</v>
      </c>
      <c r="D509" s="1" t="s">
        <v>22</v>
      </c>
      <c r="E509" s="1" t="s">
        <v>14</v>
      </c>
      <c r="F509" s="1">
        <v>1</v>
      </c>
    </row>
    <row r="510" spans="1:9" hidden="1" x14ac:dyDescent="0.35">
      <c r="A510" s="1">
        <v>7</v>
      </c>
      <c r="B510" s="1">
        <v>1388.9999999999998</v>
      </c>
      <c r="C510" s="1">
        <v>1401.0000000000002</v>
      </c>
      <c r="D510" s="1" t="s">
        <v>15</v>
      </c>
      <c r="E510" s="1" t="s">
        <v>29</v>
      </c>
      <c r="F510" s="1">
        <v>1</v>
      </c>
    </row>
    <row r="511" spans="1:9" hidden="1" x14ac:dyDescent="0.35">
      <c r="A511" s="1">
        <v>7</v>
      </c>
      <c r="B511" s="1">
        <v>1401.0000000000002</v>
      </c>
      <c r="C511" s="1">
        <v>1469</v>
      </c>
      <c r="D511" s="1" t="s">
        <v>22</v>
      </c>
      <c r="E511" s="1" t="s">
        <v>14</v>
      </c>
      <c r="F511" s="1">
        <v>1</v>
      </c>
    </row>
    <row r="512" spans="1:9" hidden="1" x14ac:dyDescent="0.35">
      <c r="A512" s="1">
        <v>7</v>
      </c>
      <c r="B512" s="1">
        <v>1469</v>
      </c>
      <c r="C512" s="1">
        <v>1481</v>
      </c>
      <c r="D512" s="1" t="s">
        <v>15</v>
      </c>
      <c r="E512" s="1" t="s">
        <v>29</v>
      </c>
      <c r="F512" s="1">
        <v>1</v>
      </c>
    </row>
    <row r="513" spans="1:6" hidden="1" x14ac:dyDescent="0.35">
      <c r="A513" s="1">
        <v>7</v>
      </c>
      <c r="B513" s="1">
        <v>1481</v>
      </c>
      <c r="C513" s="1">
        <v>1558</v>
      </c>
      <c r="D513" s="1" t="s">
        <v>22</v>
      </c>
      <c r="E513" s="1" t="s">
        <v>14</v>
      </c>
      <c r="F513" s="1">
        <v>1</v>
      </c>
    </row>
    <row r="514" spans="1:6" hidden="1" x14ac:dyDescent="0.35">
      <c r="A514" s="1">
        <v>7</v>
      </c>
      <c r="B514" s="1">
        <v>1558</v>
      </c>
      <c r="C514" s="1">
        <v>1569</v>
      </c>
      <c r="D514" s="1" t="s">
        <v>15</v>
      </c>
      <c r="E514" s="1" t="s">
        <v>29</v>
      </c>
      <c r="F514" s="1">
        <v>1</v>
      </c>
    </row>
    <row r="515" spans="1:6" hidden="1" x14ac:dyDescent="0.35">
      <c r="A515" s="1">
        <v>7</v>
      </c>
      <c r="B515" s="1">
        <v>1569</v>
      </c>
      <c r="C515" s="1">
        <v>1638</v>
      </c>
      <c r="D515" s="1" t="s">
        <v>22</v>
      </c>
      <c r="E515" s="1" t="s">
        <v>14</v>
      </c>
      <c r="F515" s="1">
        <v>1</v>
      </c>
    </row>
    <row r="516" spans="1:6" hidden="1" x14ac:dyDescent="0.35">
      <c r="A516" s="1">
        <v>7</v>
      </c>
      <c r="B516" s="1">
        <v>1638</v>
      </c>
      <c r="C516" s="1">
        <v>1651</v>
      </c>
      <c r="D516" s="1" t="s">
        <v>15</v>
      </c>
      <c r="E516" s="1" t="s">
        <v>29</v>
      </c>
      <c r="F516" s="1">
        <v>1</v>
      </c>
    </row>
    <row r="517" spans="1:6" hidden="1" x14ac:dyDescent="0.35">
      <c r="A517" s="1">
        <v>7</v>
      </c>
      <c r="B517" s="1">
        <v>1651</v>
      </c>
      <c r="C517" s="1">
        <v>1702.9999999999998</v>
      </c>
      <c r="D517" s="1" t="s">
        <v>22</v>
      </c>
      <c r="E517" s="1" t="s">
        <v>14</v>
      </c>
      <c r="F517" s="1">
        <v>1</v>
      </c>
    </row>
    <row r="518" spans="1:6" hidden="1" x14ac:dyDescent="0.35">
      <c r="A518" s="1">
        <v>7</v>
      </c>
      <c r="B518" s="1">
        <v>1702.9999999999998</v>
      </c>
      <c r="C518" s="1">
        <v>1716</v>
      </c>
      <c r="D518" s="1" t="s">
        <v>15</v>
      </c>
      <c r="E518" s="1" t="s">
        <v>29</v>
      </c>
      <c r="F518" s="1">
        <v>1</v>
      </c>
    </row>
    <row r="519" spans="1:6" hidden="1" x14ac:dyDescent="0.35">
      <c r="A519" s="1">
        <v>7</v>
      </c>
      <c r="B519" s="1">
        <v>1716</v>
      </c>
      <c r="C519" s="1">
        <v>1763.9999999999998</v>
      </c>
      <c r="D519" s="1" t="s">
        <v>22</v>
      </c>
      <c r="E519" s="1" t="s">
        <v>14</v>
      </c>
      <c r="F519" s="1">
        <v>1</v>
      </c>
    </row>
    <row r="520" spans="1:6" hidden="1" x14ac:dyDescent="0.35">
      <c r="A520" s="1">
        <v>7</v>
      </c>
      <c r="B520" s="1">
        <v>1763.9999999999998</v>
      </c>
      <c r="C520" s="1">
        <v>1783</v>
      </c>
      <c r="D520" s="1" t="s">
        <v>15</v>
      </c>
      <c r="E520" s="1" t="s">
        <v>29</v>
      </c>
      <c r="F520" s="1">
        <v>1</v>
      </c>
    </row>
    <row r="521" spans="1:6" x14ac:dyDescent="0.35">
      <c r="A521" s="1">
        <v>7</v>
      </c>
      <c r="B521" s="1">
        <v>1783</v>
      </c>
      <c r="C521" s="1">
        <v>1808.9999999999998</v>
      </c>
      <c r="D521" s="1" t="s">
        <v>22</v>
      </c>
      <c r="E521" s="1" t="s">
        <v>18</v>
      </c>
      <c r="F521" s="1">
        <v>1</v>
      </c>
    </row>
    <row r="522" spans="1:6" hidden="1" x14ac:dyDescent="0.35">
      <c r="A522" s="1">
        <v>7</v>
      </c>
      <c r="B522" s="1">
        <v>1808.9999999999998</v>
      </c>
      <c r="C522" s="1">
        <v>1870</v>
      </c>
      <c r="D522" s="1" t="s">
        <v>22</v>
      </c>
      <c r="E522" s="1" t="s">
        <v>14</v>
      </c>
      <c r="F522" s="1">
        <v>1</v>
      </c>
    </row>
    <row r="523" spans="1:6" hidden="1" x14ac:dyDescent="0.35">
      <c r="A523" s="1">
        <v>7</v>
      </c>
      <c r="B523" s="1">
        <v>1870</v>
      </c>
      <c r="C523" s="1">
        <v>1892</v>
      </c>
      <c r="D523" s="1" t="s">
        <v>15</v>
      </c>
      <c r="E523" s="1" t="s">
        <v>29</v>
      </c>
      <c r="F523" s="1">
        <v>1</v>
      </c>
    </row>
    <row r="524" spans="1:6" hidden="1" x14ac:dyDescent="0.35">
      <c r="A524" s="1">
        <v>7</v>
      </c>
      <c r="B524" s="1">
        <v>1892</v>
      </c>
      <c r="C524" s="1">
        <v>1926.0000000000002</v>
      </c>
      <c r="D524" s="1" t="s">
        <v>22</v>
      </c>
      <c r="E524" s="1" t="s">
        <v>14</v>
      </c>
      <c r="F524" s="1">
        <v>1</v>
      </c>
    </row>
    <row r="525" spans="1:6" hidden="1" x14ac:dyDescent="0.35">
      <c r="A525" s="1">
        <v>7</v>
      </c>
      <c r="B525" s="1">
        <v>1926.0000000000002</v>
      </c>
      <c r="C525" s="1">
        <v>1941</v>
      </c>
      <c r="D525" s="1" t="s">
        <v>15</v>
      </c>
      <c r="E525" s="1" t="s">
        <v>29</v>
      </c>
      <c r="F525" s="1">
        <v>1</v>
      </c>
    </row>
    <row r="526" spans="1:6" hidden="1" x14ac:dyDescent="0.35">
      <c r="A526" s="1">
        <v>7</v>
      </c>
      <c r="B526" s="1">
        <v>1941</v>
      </c>
      <c r="C526" s="1">
        <v>2011</v>
      </c>
      <c r="D526" s="1" t="s">
        <v>22</v>
      </c>
      <c r="E526" s="1" t="s">
        <v>14</v>
      </c>
      <c r="F526" s="1">
        <v>1</v>
      </c>
    </row>
    <row r="527" spans="1:6" hidden="1" x14ac:dyDescent="0.35">
      <c r="A527" s="1">
        <v>7</v>
      </c>
      <c r="B527" s="1">
        <v>2011</v>
      </c>
      <c r="C527" s="1">
        <v>2023</v>
      </c>
      <c r="D527" s="1" t="s">
        <v>15</v>
      </c>
      <c r="E527" s="1" t="s">
        <v>29</v>
      </c>
      <c r="F527" s="1">
        <v>1</v>
      </c>
    </row>
    <row r="528" spans="1:6" hidden="1" x14ac:dyDescent="0.35">
      <c r="A528" s="1">
        <v>7</v>
      </c>
      <c r="B528" s="1">
        <v>2023</v>
      </c>
      <c r="C528" s="1">
        <v>2078</v>
      </c>
      <c r="D528" s="1" t="s">
        <v>22</v>
      </c>
      <c r="E528" s="1" t="s">
        <v>14</v>
      </c>
      <c r="F528" s="1">
        <v>1</v>
      </c>
    </row>
    <row r="529" spans="1:6" hidden="1" x14ac:dyDescent="0.35">
      <c r="A529" s="1">
        <v>7</v>
      </c>
      <c r="B529" s="1">
        <v>2078</v>
      </c>
      <c r="C529" s="1">
        <v>2090.0000000000005</v>
      </c>
      <c r="D529" s="1" t="s">
        <v>15</v>
      </c>
      <c r="E529" s="1" t="s">
        <v>29</v>
      </c>
      <c r="F529" s="1">
        <v>1</v>
      </c>
    </row>
    <row r="530" spans="1:6" hidden="1" x14ac:dyDescent="0.35">
      <c r="A530" s="1">
        <v>7</v>
      </c>
      <c r="B530" s="1">
        <v>2090.0000000000005</v>
      </c>
      <c r="C530" s="1">
        <v>2147.9999999999995</v>
      </c>
      <c r="D530" s="1" t="s">
        <v>22</v>
      </c>
      <c r="E530" s="1" t="s">
        <v>14</v>
      </c>
      <c r="F530" s="1">
        <v>1</v>
      </c>
    </row>
    <row r="531" spans="1:6" hidden="1" x14ac:dyDescent="0.35">
      <c r="A531" s="1">
        <v>7</v>
      </c>
      <c r="B531" s="1">
        <v>2147.9999999999995</v>
      </c>
      <c r="C531" s="1">
        <v>2158</v>
      </c>
      <c r="D531" s="1" t="s">
        <v>15</v>
      </c>
      <c r="E531" s="1" t="s">
        <v>29</v>
      </c>
      <c r="F531" s="1">
        <v>1</v>
      </c>
    </row>
    <row r="532" spans="1:6" hidden="1" x14ac:dyDescent="0.35">
      <c r="A532" s="1">
        <v>7</v>
      </c>
      <c r="B532" s="1">
        <v>2158</v>
      </c>
      <c r="C532" s="1">
        <v>2205</v>
      </c>
      <c r="D532" s="1" t="s">
        <v>22</v>
      </c>
      <c r="E532" s="1" t="s">
        <v>14</v>
      </c>
      <c r="F532" s="1">
        <v>1</v>
      </c>
    </row>
    <row r="533" spans="1:6" hidden="1" x14ac:dyDescent="0.35">
      <c r="A533" s="1">
        <v>7</v>
      </c>
      <c r="B533" s="1">
        <v>2205</v>
      </c>
      <c r="C533" s="1">
        <v>2216</v>
      </c>
      <c r="D533" s="1" t="s">
        <v>15</v>
      </c>
      <c r="E533" s="1" t="s">
        <v>29</v>
      </c>
      <c r="F533" s="1">
        <v>1</v>
      </c>
    </row>
    <row r="534" spans="1:6" hidden="1" x14ac:dyDescent="0.35">
      <c r="A534" s="1">
        <v>7</v>
      </c>
      <c r="B534" s="1">
        <v>2216</v>
      </c>
      <c r="C534" s="1">
        <v>2274</v>
      </c>
      <c r="D534" s="1" t="s">
        <v>22</v>
      </c>
      <c r="E534" s="1" t="s">
        <v>14</v>
      </c>
      <c r="F534" s="1">
        <v>1</v>
      </c>
    </row>
    <row r="535" spans="1:6" hidden="1" x14ac:dyDescent="0.35">
      <c r="A535" s="1">
        <v>7</v>
      </c>
      <c r="B535" s="1">
        <v>2274</v>
      </c>
      <c r="C535" s="1">
        <v>2284</v>
      </c>
      <c r="D535" s="1" t="s">
        <v>15</v>
      </c>
      <c r="E535" s="1" t="s">
        <v>29</v>
      </c>
      <c r="F535" s="1">
        <v>1</v>
      </c>
    </row>
    <row r="536" spans="1:6" hidden="1" x14ac:dyDescent="0.35">
      <c r="A536" s="1">
        <v>7</v>
      </c>
      <c r="B536" s="1">
        <v>2284</v>
      </c>
      <c r="C536" s="1">
        <v>2348</v>
      </c>
      <c r="D536" s="1" t="s">
        <v>22</v>
      </c>
      <c r="E536" s="1" t="s">
        <v>14</v>
      </c>
      <c r="F536" s="1">
        <v>1</v>
      </c>
    </row>
    <row r="537" spans="1:6" hidden="1" x14ac:dyDescent="0.35">
      <c r="A537" s="1">
        <v>7</v>
      </c>
      <c r="B537" s="1">
        <v>2348</v>
      </c>
      <c r="C537" s="1">
        <v>2367</v>
      </c>
      <c r="D537" s="1" t="s">
        <v>15</v>
      </c>
      <c r="E537" s="1" t="s">
        <v>29</v>
      </c>
      <c r="F537" s="1">
        <v>1</v>
      </c>
    </row>
    <row r="538" spans="1:6" hidden="1" x14ac:dyDescent="0.35">
      <c r="A538" s="1">
        <v>7</v>
      </c>
      <c r="B538" s="1">
        <v>2367</v>
      </c>
      <c r="C538" s="1">
        <v>2424</v>
      </c>
      <c r="D538" s="1" t="s">
        <v>22</v>
      </c>
      <c r="E538" s="1" t="s">
        <v>14</v>
      </c>
      <c r="F538" s="1">
        <v>1</v>
      </c>
    </row>
    <row r="539" spans="1:6" hidden="1" x14ac:dyDescent="0.35">
      <c r="A539" s="1">
        <v>7</v>
      </c>
      <c r="B539" s="1">
        <v>2424</v>
      </c>
      <c r="C539" s="1">
        <v>2435</v>
      </c>
      <c r="D539" s="1" t="s">
        <v>15</v>
      </c>
      <c r="E539" s="1" t="s">
        <v>29</v>
      </c>
      <c r="F539" s="1">
        <v>1</v>
      </c>
    </row>
    <row r="540" spans="1:6" hidden="1" x14ac:dyDescent="0.35">
      <c r="A540" s="1">
        <v>7</v>
      </c>
      <c r="B540" s="1">
        <v>2435</v>
      </c>
      <c r="C540" s="1">
        <v>2512</v>
      </c>
      <c r="D540" s="1" t="s">
        <v>22</v>
      </c>
      <c r="E540" s="1" t="s">
        <v>14</v>
      </c>
      <c r="F540" s="1">
        <v>1</v>
      </c>
    </row>
    <row r="541" spans="1:6" hidden="1" x14ac:dyDescent="0.35">
      <c r="A541" s="1">
        <v>7</v>
      </c>
      <c r="B541" s="1">
        <v>2512</v>
      </c>
      <c r="C541" s="1">
        <v>2532.0000000000005</v>
      </c>
      <c r="D541" s="1" t="s">
        <v>15</v>
      </c>
      <c r="E541" s="1" t="s">
        <v>29</v>
      </c>
      <c r="F541" s="1">
        <v>1</v>
      </c>
    </row>
    <row r="542" spans="1:6" hidden="1" x14ac:dyDescent="0.35">
      <c r="A542" s="1">
        <v>7</v>
      </c>
      <c r="B542" s="1">
        <v>2532.0000000000005</v>
      </c>
      <c r="C542" s="1">
        <v>2615</v>
      </c>
      <c r="D542" s="1" t="s">
        <v>22</v>
      </c>
      <c r="E542" s="1" t="s">
        <v>14</v>
      </c>
      <c r="F542" s="1">
        <v>1</v>
      </c>
    </row>
    <row r="543" spans="1:6" hidden="1" x14ac:dyDescent="0.35">
      <c r="A543" s="1">
        <v>7</v>
      </c>
      <c r="B543" s="1">
        <v>2615</v>
      </c>
      <c r="C543" s="1">
        <v>2628</v>
      </c>
      <c r="D543" s="1" t="s">
        <v>15</v>
      </c>
      <c r="E543" s="1" t="s">
        <v>29</v>
      </c>
      <c r="F543" s="1">
        <v>1</v>
      </c>
    </row>
    <row r="544" spans="1:6" hidden="1" x14ac:dyDescent="0.35">
      <c r="A544" s="1">
        <v>7</v>
      </c>
      <c r="B544" s="1">
        <v>2628</v>
      </c>
      <c r="C544" s="1">
        <v>2689</v>
      </c>
      <c r="D544" s="1" t="s">
        <v>22</v>
      </c>
      <c r="E544" s="1" t="s">
        <v>14</v>
      </c>
      <c r="F544" s="1">
        <v>1</v>
      </c>
    </row>
    <row r="545" spans="1:6" hidden="1" x14ac:dyDescent="0.35">
      <c r="A545" s="1">
        <v>7</v>
      </c>
      <c r="B545" s="1">
        <v>2689</v>
      </c>
      <c r="C545" s="1">
        <v>2740</v>
      </c>
      <c r="D545" s="1" t="s">
        <v>15</v>
      </c>
      <c r="E545" s="1" t="s">
        <v>29</v>
      </c>
      <c r="F545" s="1">
        <v>1</v>
      </c>
    </row>
    <row r="546" spans="1:6" hidden="1" x14ac:dyDescent="0.35">
      <c r="A546" s="1">
        <v>7</v>
      </c>
      <c r="B546" s="1">
        <v>2740</v>
      </c>
      <c r="C546" s="1">
        <v>2797</v>
      </c>
      <c r="D546" s="1" t="s">
        <v>22</v>
      </c>
      <c r="E546" s="1" t="s">
        <v>14</v>
      </c>
      <c r="F546" s="1">
        <v>1</v>
      </c>
    </row>
    <row r="547" spans="1:6" hidden="1" x14ac:dyDescent="0.35">
      <c r="A547" s="1">
        <v>7</v>
      </c>
      <c r="B547" s="1">
        <v>2797</v>
      </c>
      <c r="C547" s="1">
        <v>2809</v>
      </c>
      <c r="D547" s="1" t="s">
        <v>15</v>
      </c>
      <c r="E547" s="1" t="s">
        <v>29</v>
      </c>
      <c r="F547" s="1">
        <v>1</v>
      </c>
    </row>
    <row r="548" spans="1:6" hidden="1" x14ac:dyDescent="0.35">
      <c r="A548" s="1">
        <v>7</v>
      </c>
      <c r="B548" s="1">
        <v>2809</v>
      </c>
      <c r="C548" s="1">
        <v>2884</v>
      </c>
      <c r="D548" s="1" t="s">
        <v>22</v>
      </c>
      <c r="E548" s="1" t="s">
        <v>14</v>
      </c>
      <c r="F548" s="1">
        <v>1</v>
      </c>
    </row>
    <row r="549" spans="1:6" hidden="1" x14ac:dyDescent="0.35">
      <c r="A549" s="1">
        <v>7</v>
      </c>
      <c r="B549" s="1">
        <v>2884</v>
      </c>
      <c r="C549" s="1">
        <v>2895</v>
      </c>
      <c r="D549" s="1" t="s">
        <v>15</v>
      </c>
      <c r="E549" s="1" t="s">
        <v>29</v>
      </c>
      <c r="F549" s="1">
        <v>1</v>
      </c>
    </row>
    <row r="550" spans="1:6" hidden="1" x14ac:dyDescent="0.35">
      <c r="A550" s="1">
        <v>7</v>
      </c>
      <c r="B550" s="1">
        <v>2895</v>
      </c>
      <c r="C550" s="1">
        <v>2965</v>
      </c>
      <c r="D550" s="1" t="s">
        <v>22</v>
      </c>
      <c r="E550" s="1" t="s">
        <v>14</v>
      </c>
      <c r="F550" s="1">
        <v>1</v>
      </c>
    </row>
    <row r="551" spans="1:6" hidden="1" x14ac:dyDescent="0.35">
      <c r="A551" s="1">
        <v>7</v>
      </c>
      <c r="B551" s="1">
        <v>2965</v>
      </c>
      <c r="C551" s="1">
        <v>2976.0000000000005</v>
      </c>
      <c r="D551" s="1" t="s">
        <v>15</v>
      </c>
      <c r="E551" s="1" t="s">
        <v>29</v>
      </c>
      <c r="F551" s="1">
        <v>1</v>
      </c>
    </row>
    <row r="552" spans="1:6" hidden="1" x14ac:dyDescent="0.35">
      <c r="A552" s="1">
        <v>7</v>
      </c>
      <c r="B552" s="1">
        <v>2976.0000000000005</v>
      </c>
      <c r="C552" s="1">
        <v>3061.9999999999995</v>
      </c>
      <c r="D552" s="1" t="s">
        <v>22</v>
      </c>
      <c r="E552" s="1" t="s">
        <v>14</v>
      </c>
      <c r="F552" s="1">
        <v>1</v>
      </c>
    </row>
    <row r="553" spans="1:6" hidden="1" x14ac:dyDescent="0.35">
      <c r="A553" s="1">
        <v>7</v>
      </c>
      <c r="B553" s="1">
        <v>3061.9999999999995</v>
      </c>
      <c r="C553" s="1">
        <v>3073</v>
      </c>
      <c r="D553" s="1" t="s">
        <v>15</v>
      </c>
      <c r="E553" s="1" t="s">
        <v>29</v>
      </c>
      <c r="F553" s="1">
        <v>1</v>
      </c>
    </row>
    <row r="554" spans="1:6" hidden="1" x14ac:dyDescent="0.35">
      <c r="A554" s="1">
        <v>7</v>
      </c>
      <c r="B554" s="1">
        <v>3073</v>
      </c>
      <c r="C554" s="1">
        <v>3069.9999999999995</v>
      </c>
      <c r="D554" s="1" t="s">
        <v>22</v>
      </c>
      <c r="E554" s="1" t="s">
        <v>14</v>
      </c>
      <c r="F554" s="1">
        <v>1</v>
      </c>
    </row>
    <row r="555" spans="1:6" hidden="1" x14ac:dyDescent="0.35">
      <c r="A555" s="1">
        <v>7</v>
      </c>
      <c r="B555" s="1">
        <v>3069.9999999999995</v>
      </c>
      <c r="C555" s="1">
        <v>3140.0000000000005</v>
      </c>
      <c r="D555" s="1" t="s">
        <v>15</v>
      </c>
      <c r="E555" s="1" t="s">
        <v>29</v>
      </c>
      <c r="F555" s="1">
        <v>1</v>
      </c>
    </row>
    <row r="556" spans="1:6" hidden="1" x14ac:dyDescent="0.35">
      <c r="A556" s="1">
        <v>7</v>
      </c>
      <c r="B556" s="1">
        <v>3140.0000000000005</v>
      </c>
      <c r="C556" s="1">
        <v>3219</v>
      </c>
      <c r="D556" s="1" t="s">
        <v>22</v>
      </c>
      <c r="E556" s="1" t="s">
        <v>14</v>
      </c>
      <c r="F556" s="1">
        <v>1</v>
      </c>
    </row>
    <row r="557" spans="1:6" hidden="1" x14ac:dyDescent="0.35">
      <c r="A557" s="1">
        <v>7</v>
      </c>
      <c r="B557" s="1">
        <v>3219</v>
      </c>
      <c r="C557" s="1">
        <v>3230.0000000000005</v>
      </c>
      <c r="D557" s="1" t="s">
        <v>15</v>
      </c>
      <c r="E557" s="1" t="s">
        <v>29</v>
      </c>
      <c r="F557" s="1">
        <v>1</v>
      </c>
    </row>
    <row r="558" spans="1:6" hidden="1" x14ac:dyDescent="0.35">
      <c r="A558" s="1">
        <v>7</v>
      </c>
      <c r="B558" s="1">
        <v>3230.0000000000005</v>
      </c>
      <c r="C558" s="1">
        <v>3296</v>
      </c>
      <c r="D558" s="1" t="s">
        <v>22</v>
      </c>
      <c r="E558" s="1" t="s">
        <v>14</v>
      </c>
      <c r="F558" s="1">
        <v>1</v>
      </c>
    </row>
    <row r="559" spans="1:6" hidden="1" x14ac:dyDescent="0.35">
      <c r="A559" s="1">
        <v>7</v>
      </c>
      <c r="B559" s="1">
        <v>3296</v>
      </c>
      <c r="C559" s="1">
        <v>3307.9999999999995</v>
      </c>
      <c r="D559" s="1" t="s">
        <v>15</v>
      </c>
      <c r="E559" s="1" t="s">
        <v>29</v>
      </c>
      <c r="F559" s="1">
        <v>1</v>
      </c>
    </row>
    <row r="560" spans="1:6" hidden="1" x14ac:dyDescent="0.35">
      <c r="A560" s="1">
        <v>7</v>
      </c>
      <c r="B560" s="1">
        <v>3307.9999999999995</v>
      </c>
      <c r="C560" s="1">
        <v>3427</v>
      </c>
      <c r="D560" s="1" t="s">
        <v>22</v>
      </c>
      <c r="E560" s="1" t="s">
        <v>14</v>
      </c>
      <c r="F560" s="1">
        <v>1</v>
      </c>
    </row>
    <row r="561" spans="1:9" hidden="1" x14ac:dyDescent="0.35">
      <c r="A561" s="1">
        <v>7</v>
      </c>
      <c r="B561" s="1">
        <v>3427</v>
      </c>
      <c r="C561" s="1">
        <v>3442.0000000000005</v>
      </c>
      <c r="D561" s="1" t="s">
        <v>15</v>
      </c>
      <c r="E561" s="1" t="s">
        <v>29</v>
      </c>
      <c r="F561" s="1">
        <v>1</v>
      </c>
    </row>
    <row r="562" spans="1:9" hidden="1" x14ac:dyDescent="0.35">
      <c r="A562" s="1">
        <v>7</v>
      </c>
      <c r="B562" s="1">
        <v>3442.0000000000005</v>
      </c>
      <c r="C562" s="1">
        <v>3490</v>
      </c>
      <c r="D562" s="4" t="s">
        <v>12</v>
      </c>
      <c r="E562" s="4" t="s">
        <v>14</v>
      </c>
      <c r="F562" s="1">
        <v>1</v>
      </c>
    </row>
    <row r="563" spans="1:9" hidden="1" x14ac:dyDescent="0.35">
      <c r="A563" s="1">
        <v>7</v>
      </c>
      <c r="B563" s="1">
        <v>3490</v>
      </c>
      <c r="C563" s="1">
        <v>3530</v>
      </c>
      <c r="D563" s="1" t="s">
        <v>15</v>
      </c>
      <c r="E563" s="1" t="s">
        <v>29</v>
      </c>
      <c r="F563" s="1">
        <v>1</v>
      </c>
    </row>
    <row r="564" spans="1:9" hidden="1" x14ac:dyDescent="0.35">
      <c r="A564" s="1">
        <v>7</v>
      </c>
      <c r="B564" s="1">
        <v>3530</v>
      </c>
      <c r="C564" s="1">
        <v>3612</v>
      </c>
      <c r="D564" s="4" t="s">
        <v>31</v>
      </c>
      <c r="E564" s="4"/>
      <c r="F564" s="1">
        <v>2</v>
      </c>
    </row>
    <row r="565" spans="1:9" hidden="1" x14ac:dyDescent="0.35">
      <c r="A565" s="1">
        <v>7</v>
      </c>
      <c r="B565" s="1">
        <v>3612</v>
      </c>
      <c r="C565" s="1">
        <v>3630</v>
      </c>
      <c r="D565" s="1" t="s">
        <v>15</v>
      </c>
      <c r="E565" s="1" t="s">
        <v>16</v>
      </c>
      <c r="F565" s="1">
        <v>2</v>
      </c>
    </row>
    <row r="566" spans="1:9" hidden="1" x14ac:dyDescent="0.35">
      <c r="A566" s="1">
        <v>7</v>
      </c>
      <c r="B566" s="1">
        <v>3630</v>
      </c>
      <c r="C566" s="1">
        <v>3655</v>
      </c>
      <c r="D566" s="1" t="s">
        <v>22</v>
      </c>
      <c r="E566" s="1" t="s">
        <v>14</v>
      </c>
      <c r="F566" s="1">
        <v>2</v>
      </c>
    </row>
    <row r="567" spans="1:9" hidden="1" x14ac:dyDescent="0.35">
      <c r="A567" s="1">
        <v>7</v>
      </c>
      <c r="B567" s="1">
        <v>3655</v>
      </c>
      <c r="C567" s="1">
        <v>3672</v>
      </c>
      <c r="D567" s="3" t="s">
        <v>12</v>
      </c>
      <c r="E567" s="3" t="s">
        <v>21</v>
      </c>
      <c r="F567" s="1">
        <v>2</v>
      </c>
      <c r="I567">
        <f>C567-B567</f>
        <v>17</v>
      </c>
    </row>
    <row r="568" spans="1:9" hidden="1" x14ac:dyDescent="0.35">
      <c r="A568" s="1">
        <v>7</v>
      </c>
      <c r="B568" s="1">
        <v>3672</v>
      </c>
      <c r="C568" s="1">
        <v>3685</v>
      </c>
      <c r="D568" s="1" t="s">
        <v>15</v>
      </c>
      <c r="E568" s="1" t="s">
        <v>29</v>
      </c>
      <c r="F568" s="1">
        <v>2</v>
      </c>
    </row>
    <row r="569" spans="1:9" hidden="1" x14ac:dyDescent="0.35">
      <c r="A569" s="1">
        <v>7</v>
      </c>
      <c r="B569" s="1">
        <v>3685</v>
      </c>
      <c r="C569" s="1">
        <v>3748</v>
      </c>
      <c r="D569" s="1" t="s">
        <v>12</v>
      </c>
      <c r="E569" s="1" t="s">
        <v>14</v>
      </c>
      <c r="F569" s="1">
        <v>2</v>
      </c>
    </row>
    <row r="570" spans="1:9" hidden="1" x14ac:dyDescent="0.35">
      <c r="A570" s="1">
        <v>7</v>
      </c>
      <c r="B570" s="1">
        <v>3748</v>
      </c>
      <c r="C570" s="1">
        <v>3759</v>
      </c>
      <c r="D570" s="1" t="s">
        <v>15</v>
      </c>
      <c r="E570" s="1" t="s">
        <v>29</v>
      </c>
      <c r="F570" s="1">
        <v>2</v>
      </c>
    </row>
    <row r="571" spans="1:9" hidden="1" x14ac:dyDescent="0.35">
      <c r="A571" s="1">
        <v>7</v>
      </c>
      <c r="B571" s="1">
        <v>3759</v>
      </c>
      <c r="C571" s="1">
        <v>3799</v>
      </c>
      <c r="D571" s="1" t="s">
        <v>12</v>
      </c>
      <c r="E571" s="1" t="s">
        <v>14</v>
      </c>
      <c r="F571" s="1">
        <v>2</v>
      </c>
    </row>
    <row r="572" spans="1:9" hidden="1" x14ac:dyDescent="0.35">
      <c r="A572" s="1">
        <v>7</v>
      </c>
      <c r="B572" s="1">
        <v>3799</v>
      </c>
      <c r="C572" s="1">
        <v>3809</v>
      </c>
      <c r="D572" s="1" t="s">
        <v>15</v>
      </c>
      <c r="E572" s="1" t="s">
        <v>29</v>
      </c>
      <c r="F572" s="1">
        <v>2</v>
      </c>
    </row>
    <row r="573" spans="1:9" hidden="1" x14ac:dyDescent="0.35">
      <c r="A573" s="1">
        <v>7</v>
      </c>
      <c r="B573" s="1">
        <v>3809</v>
      </c>
      <c r="C573" s="1">
        <v>3879</v>
      </c>
      <c r="D573" s="4" t="s">
        <v>31</v>
      </c>
      <c r="E573" s="4"/>
      <c r="F573" s="1">
        <v>3</v>
      </c>
    </row>
    <row r="574" spans="1:9" hidden="1" x14ac:dyDescent="0.35">
      <c r="A574" s="1">
        <v>7</v>
      </c>
      <c r="B574" s="1">
        <v>3879</v>
      </c>
      <c r="C574" s="1">
        <v>4032</v>
      </c>
      <c r="F574" s="1">
        <v>3</v>
      </c>
    </row>
    <row r="575" spans="1:9" hidden="1" x14ac:dyDescent="0.35">
      <c r="A575" s="1">
        <v>7</v>
      </c>
      <c r="B575" s="1">
        <v>4032</v>
      </c>
      <c r="C575" s="1">
        <v>4046</v>
      </c>
      <c r="D575" s="1" t="s">
        <v>22</v>
      </c>
      <c r="E575" s="1" t="s">
        <v>14</v>
      </c>
      <c r="F575" s="1">
        <v>3</v>
      </c>
    </row>
    <row r="576" spans="1:9" hidden="1" x14ac:dyDescent="0.35">
      <c r="A576" s="1">
        <v>7</v>
      </c>
      <c r="B576" s="1">
        <v>4046</v>
      </c>
      <c r="C576" s="1">
        <v>4080</v>
      </c>
      <c r="D576" s="1" t="s">
        <v>15</v>
      </c>
      <c r="E576" s="1" t="s">
        <v>29</v>
      </c>
      <c r="F576" s="1">
        <v>3</v>
      </c>
    </row>
    <row r="577" spans="1:9" hidden="1" x14ac:dyDescent="0.35">
      <c r="A577" s="1">
        <v>7</v>
      </c>
      <c r="B577" s="1">
        <v>4080</v>
      </c>
      <c r="C577" s="1">
        <v>4235</v>
      </c>
      <c r="D577" s="1" t="s">
        <v>17</v>
      </c>
      <c r="E577" s="1" t="s">
        <v>30</v>
      </c>
      <c r="F577" s="1">
        <v>3</v>
      </c>
    </row>
    <row r="578" spans="1:9" hidden="1" x14ac:dyDescent="0.35">
      <c r="A578" s="1">
        <v>7</v>
      </c>
      <c r="B578" s="1">
        <v>4235</v>
      </c>
      <c r="C578" s="1">
        <v>4263</v>
      </c>
      <c r="D578" s="1" t="s">
        <v>22</v>
      </c>
      <c r="E578" s="1" t="s">
        <v>14</v>
      </c>
      <c r="F578" s="1">
        <v>3</v>
      </c>
    </row>
    <row r="579" spans="1:9" hidden="1" x14ac:dyDescent="0.35">
      <c r="A579" s="1">
        <v>7</v>
      </c>
      <c r="B579" s="1">
        <v>4263</v>
      </c>
      <c r="C579" s="1">
        <v>4289</v>
      </c>
      <c r="D579" s="1" t="s">
        <v>15</v>
      </c>
      <c r="E579" s="1" t="s">
        <v>29</v>
      </c>
      <c r="F579" s="1">
        <v>3</v>
      </c>
    </row>
    <row r="580" spans="1:9" hidden="1" x14ac:dyDescent="0.35">
      <c r="A580" s="1">
        <v>7</v>
      </c>
      <c r="B580" s="1">
        <v>4289</v>
      </c>
      <c r="C580" s="1">
        <v>4340</v>
      </c>
      <c r="D580" s="1" t="s">
        <v>17</v>
      </c>
      <c r="E580" s="1" t="s">
        <v>30</v>
      </c>
      <c r="F580" s="1">
        <v>3</v>
      </c>
    </row>
    <row r="581" spans="1:9" hidden="1" x14ac:dyDescent="0.35">
      <c r="A581" s="1">
        <v>7</v>
      </c>
      <c r="B581" s="1">
        <v>4340</v>
      </c>
      <c r="C581" s="1">
        <v>4374</v>
      </c>
      <c r="D581" s="1" t="s">
        <v>22</v>
      </c>
      <c r="E581" s="1" t="s">
        <v>14</v>
      </c>
      <c r="F581" s="1">
        <v>3</v>
      </c>
    </row>
    <row r="582" spans="1:9" hidden="1" x14ac:dyDescent="0.35">
      <c r="A582" s="1">
        <v>7</v>
      </c>
      <c r="B582" s="1">
        <v>4374</v>
      </c>
      <c r="C582" s="1">
        <v>4418</v>
      </c>
      <c r="D582" s="7" t="s">
        <v>12</v>
      </c>
      <c r="E582" s="7" t="s">
        <v>19</v>
      </c>
      <c r="F582" s="1">
        <v>3</v>
      </c>
      <c r="I582">
        <f>C582-B582</f>
        <v>44</v>
      </c>
    </row>
    <row r="583" spans="1:9" hidden="1" x14ac:dyDescent="0.35">
      <c r="A583" s="1">
        <v>7</v>
      </c>
      <c r="B583" s="1">
        <v>4418</v>
      </c>
      <c r="C583" s="1">
        <v>4446</v>
      </c>
      <c r="D583" s="1" t="s">
        <v>22</v>
      </c>
      <c r="E583" s="1" t="s">
        <v>14</v>
      </c>
      <c r="F583" s="1">
        <v>3</v>
      </c>
    </row>
    <row r="584" spans="1:9" hidden="1" x14ac:dyDescent="0.35">
      <c r="A584" s="2">
        <v>7</v>
      </c>
      <c r="B584" s="2">
        <v>4446</v>
      </c>
      <c r="C584" s="2">
        <v>4530</v>
      </c>
      <c r="D584" s="5" t="s">
        <v>12</v>
      </c>
      <c r="E584" s="5" t="s">
        <v>19</v>
      </c>
      <c r="F584" s="2">
        <v>3</v>
      </c>
      <c r="I584">
        <f>C584-B584</f>
        <v>84</v>
      </c>
    </row>
    <row r="585" spans="1:9" hidden="1" x14ac:dyDescent="0.35">
      <c r="A585" s="8">
        <v>8</v>
      </c>
      <c r="B585" s="1">
        <v>46.000000000000007</v>
      </c>
      <c r="C585" s="1">
        <v>96</v>
      </c>
      <c r="D585" s="1" t="s">
        <v>17</v>
      </c>
      <c r="E585" s="1" t="s">
        <v>34</v>
      </c>
      <c r="F585" s="1">
        <v>0</v>
      </c>
    </row>
    <row r="586" spans="1:9" hidden="1" x14ac:dyDescent="0.35">
      <c r="A586" s="8">
        <v>8</v>
      </c>
      <c r="B586" s="1">
        <v>96</v>
      </c>
      <c r="C586" s="1">
        <v>254.00000000000003</v>
      </c>
      <c r="D586" s="1" t="s">
        <v>26</v>
      </c>
      <c r="E586" s="1" t="s">
        <v>16</v>
      </c>
      <c r="F586" s="1">
        <v>0</v>
      </c>
    </row>
    <row r="587" spans="1:9" hidden="1" x14ac:dyDescent="0.35">
      <c r="A587" s="8">
        <v>8</v>
      </c>
      <c r="B587" s="1">
        <v>254.00000000000003</v>
      </c>
      <c r="C587" s="1">
        <v>330</v>
      </c>
      <c r="D587" s="1" t="s">
        <v>17</v>
      </c>
      <c r="E587" s="1" t="s">
        <v>34</v>
      </c>
      <c r="F587" s="1">
        <v>0</v>
      </c>
    </row>
    <row r="588" spans="1:9" hidden="1" x14ac:dyDescent="0.35">
      <c r="A588" s="8">
        <v>8</v>
      </c>
      <c r="B588" s="1">
        <v>330</v>
      </c>
      <c r="C588" s="1">
        <v>431</v>
      </c>
      <c r="D588" s="1" t="s">
        <v>26</v>
      </c>
      <c r="E588" s="1" t="s">
        <v>16</v>
      </c>
      <c r="F588" s="1">
        <v>0</v>
      </c>
    </row>
    <row r="589" spans="1:9" hidden="1" x14ac:dyDescent="0.35">
      <c r="A589" s="8">
        <v>8</v>
      </c>
      <c r="B589" s="1">
        <v>431</v>
      </c>
      <c r="C589" s="1">
        <v>567</v>
      </c>
      <c r="D589" s="1" t="s">
        <v>22</v>
      </c>
      <c r="E589" s="1" t="s">
        <v>14</v>
      </c>
      <c r="F589" s="1">
        <v>0</v>
      </c>
    </row>
    <row r="590" spans="1:9" hidden="1" x14ac:dyDescent="0.35">
      <c r="A590" s="8">
        <v>8</v>
      </c>
      <c r="B590" s="1">
        <v>567</v>
      </c>
      <c r="C590" s="1">
        <v>685</v>
      </c>
      <c r="D590" s="1" t="s">
        <v>12</v>
      </c>
      <c r="E590" s="1" t="s">
        <v>14</v>
      </c>
      <c r="F590" s="1">
        <v>0</v>
      </c>
    </row>
    <row r="591" spans="1:9" hidden="1" x14ac:dyDescent="0.35">
      <c r="A591" s="8">
        <v>8</v>
      </c>
      <c r="B591" s="1">
        <v>685</v>
      </c>
      <c r="C591" s="1">
        <v>770</v>
      </c>
      <c r="D591" s="1" t="s">
        <v>26</v>
      </c>
      <c r="E591" s="1" t="s">
        <v>16</v>
      </c>
      <c r="F591" s="1">
        <v>0</v>
      </c>
    </row>
    <row r="592" spans="1:9" hidden="1" x14ac:dyDescent="0.35">
      <c r="A592" s="8">
        <v>8</v>
      </c>
      <c r="B592" s="1">
        <v>770</v>
      </c>
      <c r="C592" s="1">
        <v>807</v>
      </c>
      <c r="D592" s="1" t="s">
        <v>22</v>
      </c>
      <c r="E592" s="1" t="s">
        <v>14</v>
      </c>
      <c r="F592" s="1">
        <v>0</v>
      </c>
    </row>
    <row r="593" spans="1:9" hidden="1" x14ac:dyDescent="0.35">
      <c r="A593" s="8">
        <v>8</v>
      </c>
      <c r="B593" s="1">
        <v>807</v>
      </c>
      <c r="C593" s="1">
        <v>908</v>
      </c>
      <c r="D593" s="1" t="s">
        <v>12</v>
      </c>
      <c r="E593" s="1" t="s">
        <v>14</v>
      </c>
      <c r="F593" s="1">
        <v>0</v>
      </c>
    </row>
    <row r="594" spans="1:9" hidden="1" x14ac:dyDescent="0.35">
      <c r="A594" s="8">
        <v>8</v>
      </c>
      <c r="B594" s="1">
        <v>908</v>
      </c>
      <c r="C594" s="1">
        <v>979.99999999999989</v>
      </c>
      <c r="D594" s="4" t="s">
        <v>31</v>
      </c>
      <c r="E594" s="4"/>
      <c r="F594" s="1">
        <v>1</v>
      </c>
    </row>
    <row r="595" spans="1:9" hidden="1" x14ac:dyDescent="0.35">
      <c r="A595" s="8">
        <v>8</v>
      </c>
      <c r="B595" s="1">
        <v>979.99999999999989</v>
      </c>
      <c r="C595" s="1">
        <v>1101</v>
      </c>
      <c r="D595" s="1" t="s">
        <v>26</v>
      </c>
      <c r="E595" s="1" t="s">
        <v>16</v>
      </c>
      <c r="F595" s="1">
        <v>1</v>
      </c>
    </row>
    <row r="596" spans="1:9" hidden="1" x14ac:dyDescent="0.35">
      <c r="A596" s="8">
        <v>8</v>
      </c>
      <c r="B596" s="1">
        <v>1101</v>
      </c>
      <c r="C596" s="1">
        <v>1157</v>
      </c>
      <c r="D596" s="1" t="s">
        <v>12</v>
      </c>
      <c r="E596" s="1" t="s">
        <v>19</v>
      </c>
      <c r="F596" s="1">
        <v>1</v>
      </c>
      <c r="G596">
        <f>SUM(I596:I698)</f>
        <v>717.00000000000045</v>
      </c>
      <c r="I596">
        <f>C596-B596</f>
        <v>56</v>
      </c>
    </row>
    <row r="597" spans="1:9" hidden="1" x14ac:dyDescent="0.35">
      <c r="A597" s="8">
        <v>8</v>
      </c>
      <c r="B597" s="1">
        <v>1157</v>
      </c>
      <c r="C597" s="1">
        <v>1190</v>
      </c>
      <c r="D597" s="1" t="s">
        <v>17</v>
      </c>
      <c r="E597" s="1" t="s">
        <v>18</v>
      </c>
      <c r="F597" s="1">
        <v>1</v>
      </c>
    </row>
    <row r="598" spans="1:9" hidden="1" x14ac:dyDescent="0.35">
      <c r="A598" s="8">
        <v>8</v>
      </c>
      <c r="B598" s="1">
        <v>1190</v>
      </c>
      <c r="C598" s="1">
        <v>1283</v>
      </c>
      <c r="D598" s="1" t="s">
        <v>26</v>
      </c>
      <c r="E598" s="1" t="s">
        <v>14</v>
      </c>
      <c r="F598" s="1">
        <v>1</v>
      </c>
    </row>
    <row r="599" spans="1:9" hidden="1" x14ac:dyDescent="0.35">
      <c r="A599" s="8">
        <v>8</v>
      </c>
      <c r="B599" s="1">
        <v>1283</v>
      </c>
      <c r="C599" s="1">
        <v>1305</v>
      </c>
      <c r="D599" s="1" t="s">
        <v>12</v>
      </c>
      <c r="E599" s="1" t="s">
        <v>19</v>
      </c>
      <c r="F599" s="1">
        <v>1</v>
      </c>
      <c r="I599">
        <f>C599-B599</f>
        <v>22</v>
      </c>
    </row>
    <row r="600" spans="1:9" hidden="1" x14ac:dyDescent="0.35">
      <c r="A600" s="8">
        <v>8</v>
      </c>
      <c r="B600" s="1">
        <v>1305</v>
      </c>
      <c r="C600" s="1">
        <v>1350</v>
      </c>
      <c r="D600" s="1" t="s">
        <v>22</v>
      </c>
      <c r="E600" s="1" t="s">
        <v>14</v>
      </c>
      <c r="F600" s="1">
        <v>1</v>
      </c>
    </row>
    <row r="601" spans="1:9" hidden="1" x14ac:dyDescent="0.35">
      <c r="A601" s="8">
        <v>8</v>
      </c>
      <c r="B601" s="1">
        <v>1350</v>
      </c>
      <c r="C601" s="1">
        <v>1380</v>
      </c>
      <c r="D601" s="1" t="s">
        <v>12</v>
      </c>
      <c r="E601" s="1" t="s">
        <v>19</v>
      </c>
      <c r="F601" s="1">
        <v>1</v>
      </c>
      <c r="I601">
        <f>C601-B601</f>
        <v>30</v>
      </c>
    </row>
    <row r="602" spans="1:9" hidden="1" x14ac:dyDescent="0.35">
      <c r="A602" s="8">
        <v>8</v>
      </c>
      <c r="B602" s="1">
        <v>1380</v>
      </c>
      <c r="C602" s="1">
        <v>1410</v>
      </c>
      <c r="D602" s="1" t="s">
        <v>17</v>
      </c>
      <c r="E602" s="1" t="s">
        <v>18</v>
      </c>
      <c r="F602" s="1">
        <v>1</v>
      </c>
    </row>
    <row r="603" spans="1:9" hidden="1" x14ac:dyDescent="0.35">
      <c r="A603" s="8">
        <v>8</v>
      </c>
      <c r="B603" s="1">
        <v>1410</v>
      </c>
      <c r="C603" s="1">
        <v>1526</v>
      </c>
      <c r="D603" s="1" t="s">
        <v>26</v>
      </c>
      <c r="F603" s="1">
        <v>1</v>
      </c>
    </row>
    <row r="604" spans="1:9" hidden="1" x14ac:dyDescent="0.35">
      <c r="A604" s="8">
        <v>8</v>
      </c>
      <c r="B604" s="1">
        <v>1526</v>
      </c>
      <c r="C604" s="1">
        <v>3265.9999999999995</v>
      </c>
      <c r="D604" s="1" t="s">
        <v>32</v>
      </c>
      <c r="E604" s="1" t="s">
        <v>33</v>
      </c>
      <c r="F604" s="1">
        <v>1</v>
      </c>
    </row>
    <row r="605" spans="1:9" hidden="1" x14ac:dyDescent="0.35">
      <c r="A605" s="8">
        <v>8</v>
      </c>
      <c r="B605" s="1">
        <v>3265.9999999999995</v>
      </c>
      <c r="C605" s="1">
        <v>3325</v>
      </c>
      <c r="D605" s="3" t="s">
        <v>12</v>
      </c>
      <c r="E605" s="3" t="s">
        <v>21</v>
      </c>
      <c r="F605" s="1">
        <v>1</v>
      </c>
      <c r="I605">
        <f>C605-B605</f>
        <v>59.000000000000455</v>
      </c>
    </row>
    <row r="606" spans="1:9" hidden="1" x14ac:dyDescent="0.35">
      <c r="A606" s="8">
        <v>8</v>
      </c>
      <c r="B606" s="1">
        <v>3325</v>
      </c>
      <c r="C606" s="1">
        <v>3420</v>
      </c>
      <c r="D606" s="4" t="s">
        <v>31</v>
      </c>
      <c r="E606" s="4"/>
      <c r="F606" s="1">
        <v>2</v>
      </c>
    </row>
    <row r="607" spans="1:9" hidden="1" x14ac:dyDescent="0.35">
      <c r="A607" s="8">
        <v>8</v>
      </c>
      <c r="B607" s="1">
        <v>3420</v>
      </c>
      <c r="C607" s="1">
        <v>3427</v>
      </c>
      <c r="D607" s="1" t="s">
        <v>32</v>
      </c>
      <c r="E607" s="1" t="s">
        <v>16</v>
      </c>
      <c r="F607" s="1">
        <v>2</v>
      </c>
    </row>
    <row r="608" spans="1:9" hidden="1" x14ac:dyDescent="0.35">
      <c r="A608" s="8">
        <v>8</v>
      </c>
      <c r="B608" s="1">
        <v>3427</v>
      </c>
      <c r="C608" s="1">
        <v>3453</v>
      </c>
      <c r="D608" s="1" t="s">
        <v>32</v>
      </c>
      <c r="E608" s="1" t="s">
        <v>33</v>
      </c>
      <c r="F608" s="1">
        <v>2</v>
      </c>
    </row>
    <row r="609" spans="1:6" hidden="1" x14ac:dyDescent="0.35">
      <c r="A609" s="1">
        <v>8</v>
      </c>
      <c r="B609" s="1">
        <v>3453</v>
      </c>
      <c r="C609" s="1">
        <v>3485</v>
      </c>
      <c r="D609" s="1" t="s">
        <v>22</v>
      </c>
      <c r="E609" s="1" t="s">
        <v>14</v>
      </c>
      <c r="F609" s="1">
        <v>2</v>
      </c>
    </row>
    <row r="610" spans="1:6" hidden="1" x14ac:dyDescent="0.35">
      <c r="A610" s="1">
        <v>8</v>
      </c>
      <c r="B610" s="1">
        <v>3485</v>
      </c>
      <c r="C610" s="1">
        <v>3490</v>
      </c>
      <c r="D610" s="1" t="s">
        <v>32</v>
      </c>
      <c r="E610" s="1" t="s">
        <v>29</v>
      </c>
      <c r="F610" s="1">
        <v>2</v>
      </c>
    </row>
    <row r="611" spans="1:6" hidden="1" x14ac:dyDescent="0.35">
      <c r="A611" s="1">
        <v>8</v>
      </c>
      <c r="B611" s="1">
        <v>3490</v>
      </c>
      <c r="C611" s="1">
        <v>3535</v>
      </c>
      <c r="D611" s="1" t="s">
        <v>22</v>
      </c>
      <c r="E611" s="1" t="s">
        <v>14</v>
      </c>
      <c r="F611" s="1">
        <v>2</v>
      </c>
    </row>
    <row r="612" spans="1:6" hidden="1" x14ac:dyDescent="0.35">
      <c r="A612" s="1">
        <v>8</v>
      </c>
      <c r="B612" s="1">
        <v>3535</v>
      </c>
      <c r="C612" s="1">
        <v>3540.9999999999995</v>
      </c>
      <c r="D612" s="1" t="s">
        <v>32</v>
      </c>
      <c r="E612" s="1" t="s">
        <v>29</v>
      </c>
      <c r="F612" s="1">
        <v>2</v>
      </c>
    </row>
    <row r="613" spans="1:6" hidden="1" x14ac:dyDescent="0.35">
      <c r="A613" s="1">
        <v>8</v>
      </c>
      <c r="B613" s="1">
        <v>3540.9999999999995</v>
      </c>
      <c r="C613" s="1">
        <v>3564.9999999999995</v>
      </c>
      <c r="D613" s="1" t="s">
        <v>22</v>
      </c>
      <c r="E613" s="1" t="s">
        <v>14</v>
      </c>
      <c r="F613" s="1">
        <v>2</v>
      </c>
    </row>
    <row r="614" spans="1:6" hidden="1" x14ac:dyDescent="0.35">
      <c r="A614" s="1">
        <v>8</v>
      </c>
      <c r="B614" s="1">
        <v>3564.9999999999995</v>
      </c>
      <c r="C614" s="1">
        <v>1770</v>
      </c>
      <c r="D614" s="1" t="s">
        <v>32</v>
      </c>
      <c r="E614" s="1" t="s">
        <v>29</v>
      </c>
      <c r="F614" s="1">
        <v>2</v>
      </c>
    </row>
    <row r="615" spans="1:6" hidden="1" x14ac:dyDescent="0.35">
      <c r="A615" s="1">
        <v>8</v>
      </c>
      <c r="B615" s="1">
        <v>1770</v>
      </c>
      <c r="C615" s="1">
        <v>3600</v>
      </c>
      <c r="D615" s="1" t="s">
        <v>22</v>
      </c>
      <c r="E615" s="1" t="s">
        <v>14</v>
      </c>
      <c r="F615" s="1">
        <v>2</v>
      </c>
    </row>
    <row r="616" spans="1:6" hidden="1" x14ac:dyDescent="0.35">
      <c r="A616" s="1">
        <v>8</v>
      </c>
      <c r="B616" s="1">
        <v>3600</v>
      </c>
      <c r="C616" s="1">
        <v>3604</v>
      </c>
      <c r="D616" s="1" t="s">
        <v>32</v>
      </c>
      <c r="E616" s="1" t="s">
        <v>29</v>
      </c>
      <c r="F616" s="1">
        <v>2</v>
      </c>
    </row>
    <row r="617" spans="1:6" hidden="1" x14ac:dyDescent="0.35">
      <c r="A617" s="1">
        <v>8</v>
      </c>
      <c r="B617" s="1">
        <v>3604</v>
      </c>
      <c r="C617" s="1">
        <v>3646</v>
      </c>
      <c r="D617" s="1" t="s">
        <v>22</v>
      </c>
      <c r="E617" s="1" t="s">
        <v>14</v>
      </c>
      <c r="F617" s="1">
        <v>2</v>
      </c>
    </row>
    <row r="618" spans="1:6" hidden="1" x14ac:dyDescent="0.35">
      <c r="A618" s="1">
        <v>8</v>
      </c>
      <c r="B618" s="1">
        <v>3646</v>
      </c>
      <c r="C618" s="1">
        <v>3659</v>
      </c>
      <c r="D618" s="1" t="s">
        <v>32</v>
      </c>
      <c r="E618" s="1" t="s">
        <v>18</v>
      </c>
      <c r="F618" s="1">
        <v>2</v>
      </c>
    </row>
    <row r="619" spans="1:6" hidden="1" x14ac:dyDescent="0.35">
      <c r="A619" s="1">
        <v>8</v>
      </c>
      <c r="B619" s="1">
        <v>3659</v>
      </c>
      <c r="C619" s="1">
        <v>3667</v>
      </c>
      <c r="D619" s="1" t="s">
        <v>32</v>
      </c>
      <c r="E619" s="1" t="s">
        <v>29</v>
      </c>
      <c r="F619" s="1">
        <v>2</v>
      </c>
    </row>
    <row r="620" spans="1:6" hidden="1" x14ac:dyDescent="0.35">
      <c r="A620" s="1">
        <v>8</v>
      </c>
      <c r="B620" s="1">
        <v>3667</v>
      </c>
      <c r="C620" s="1">
        <v>3700</v>
      </c>
      <c r="D620" s="1" t="s">
        <v>22</v>
      </c>
      <c r="E620" s="1" t="s">
        <v>14</v>
      </c>
      <c r="F620" s="1">
        <v>2</v>
      </c>
    </row>
    <row r="621" spans="1:6" hidden="1" x14ac:dyDescent="0.35">
      <c r="A621" s="1">
        <v>8</v>
      </c>
      <c r="B621" s="1">
        <v>3700</v>
      </c>
      <c r="C621" s="1">
        <v>3706</v>
      </c>
      <c r="D621" s="1" t="s">
        <v>32</v>
      </c>
      <c r="E621" s="1" t="s">
        <v>29</v>
      </c>
      <c r="F621" s="1">
        <v>2</v>
      </c>
    </row>
    <row r="622" spans="1:6" hidden="1" x14ac:dyDescent="0.35">
      <c r="A622" s="1">
        <v>8</v>
      </c>
      <c r="B622" s="1">
        <v>3706</v>
      </c>
      <c r="C622" s="1">
        <v>3739</v>
      </c>
      <c r="D622" s="1" t="s">
        <v>22</v>
      </c>
      <c r="E622" s="1" t="s">
        <v>14</v>
      </c>
      <c r="F622" s="1">
        <v>2</v>
      </c>
    </row>
    <row r="623" spans="1:6" hidden="1" x14ac:dyDescent="0.35">
      <c r="A623" s="1">
        <v>8</v>
      </c>
      <c r="B623" s="1">
        <v>3739</v>
      </c>
      <c r="C623" s="1">
        <v>3744</v>
      </c>
      <c r="D623" s="1" t="s">
        <v>32</v>
      </c>
      <c r="E623" s="1" t="s">
        <v>29</v>
      </c>
      <c r="F623" s="1">
        <v>2</v>
      </c>
    </row>
    <row r="624" spans="1:6" hidden="1" x14ac:dyDescent="0.35">
      <c r="A624" s="1">
        <v>8</v>
      </c>
      <c r="B624" s="1">
        <v>3744</v>
      </c>
      <c r="C624" s="1">
        <v>3768</v>
      </c>
      <c r="D624" s="1" t="s">
        <v>22</v>
      </c>
      <c r="E624" s="1" t="s">
        <v>14</v>
      </c>
      <c r="F624" s="1">
        <v>2</v>
      </c>
    </row>
    <row r="625" spans="1:6" hidden="1" x14ac:dyDescent="0.35">
      <c r="A625" s="1">
        <v>8</v>
      </c>
      <c r="B625" s="1">
        <v>3768</v>
      </c>
      <c r="C625" s="1">
        <v>3774</v>
      </c>
      <c r="D625" s="1" t="s">
        <v>32</v>
      </c>
      <c r="E625" s="1" t="s">
        <v>29</v>
      </c>
      <c r="F625" s="1">
        <v>2</v>
      </c>
    </row>
    <row r="626" spans="1:6" hidden="1" x14ac:dyDescent="0.35">
      <c r="A626" s="1">
        <v>8</v>
      </c>
      <c r="B626" s="1">
        <v>3774</v>
      </c>
      <c r="C626" s="1">
        <v>3799</v>
      </c>
      <c r="D626" s="1" t="s">
        <v>22</v>
      </c>
      <c r="E626" s="1" t="s">
        <v>14</v>
      </c>
      <c r="F626" s="1">
        <v>2</v>
      </c>
    </row>
    <row r="627" spans="1:6" hidden="1" x14ac:dyDescent="0.35">
      <c r="A627" s="1">
        <v>8</v>
      </c>
      <c r="B627" s="1">
        <v>3799</v>
      </c>
      <c r="C627" s="1">
        <v>3803</v>
      </c>
      <c r="D627" s="1" t="s">
        <v>32</v>
      </c>
      <c r="E627" s="1" t="s">
        <v>29</v>
      </c>
      <c r="F627" s="1">
        <v>2</v>
      </c>
    </row>
    <row r="628" spans="1:6" hidden="1" x14ac:dyDescent="0.35">
      <c r="A628" s="1">
        <v>8</v>
      </c>
      <c r="B628" s="1">
        <v>3803</v>
      </c>
      <c r="C628" s="1">
        <v>3828</v>
      </c>
      <c r="D628" s="1" t="s">
        <v>22</v>
      </c>
      <c r="E628" s="1" t="s">
        <v>14</v>
      </c>
      <c r="F628" s="1">
        <v>2</v>
      </c>
    </row>
    <row r="629" spans="1:6" hidden="1" x14ac:dyDescent="0.35">
      <c r="A629" s="1">
        <v>8</v>
      </c>
      <c r="B629" s="1">
        <v>3828</v>
      </c>
      <c r="C629" s="1">
        <v>3833</v>
      </c>
      <c r="D629" s="1" t="s">
        <v>32</v>
      </c>
      <c r="E629" s="1" t="s">
        <v>29</v>
      </c>
      <c r="F629" s="1">
        <v>2</v>
      </c>
    </row>
    <row r="630" spans="1:6" hidden="1" x14ac:dyDescent="0.35">
      <c r="A630" s="1">
        <v>8</v>
      </c>
      <c r="B630" s="1">
        <v>3833</v>
      </c>
      <c r="C630" s="1">
        <v>3855</v>
      </c>
      <c r="D630" s="1" t="s">
        <v>22</v>
      </c>
      <c r="E630" s="1" t="s">
        <v>14</v>
      </c>
      <c r="F630" s="1">
        <v>2</v>
      </c>
    </row>
    <row r="631" spans="1:6" hidden="1" x14ac:dyDescent="0.35">
      <c r="A631" s="1">
        <v>8</v>
      </c>
      <c r="B631" s="1">
        <v>3855</v>
      </c>
      <c r="C631" s="1">
        <v>3860</v>
      </c>
      <c r="D631" s="1" t="s">
        <v>32</v>
      </c>
      <c r="E631" s="1" t="s">
        <v>29</v>
      </c>
      <c r="F631" s="1">
        <v>2</v>
      </c>
    </row>
    <row r="632" spans="1:6" hidden="1" x14ac:dyDescent="0.35">
      <c r="A632" s="1">
        <v>8</v>
      </c>
      <c r="B632" s="1">
        <v>3860</v>
      </c>
      <c r="C632" s="1">
        <v>3881</v>
      </c>
      <c r="D632" s="1" t="s">
        <v>22</v>
      </c>
      <c r="E632" s="1" t="s">
        <v>14</v>
      </c>
      <c r="F632" s="1">
        <v>2</v>
      </c>
    </row>
    <row r="633" spans="1:6" hidden="1" x14ac:dyDescent="0.35">
      <c r="A633" s="1">
        <v>8</v>
      </c>
      <c r="B633" s="1">
        <v>3881</v>
      </c>
      <c r="C633" s="1">
        <v>3886</v>
      </c>
      <c r="D633" s="1" t="s">
        <v>32</v>
      </c>
      <c r="E633" s="1" t="s">
        <v>29</v>
      </c>
      <c r="F633" s="1">
        <v>2</v>
      </c>
    </row>
    <row r="634" spans="1:6" hidden="1" x14ac:dyDescent="0.35">
      <c r="A634" s="1">
        <v>8</v>
      </c>
      <c r="B634" s="1">
        <v>3886</v>
      </c>
      <c r="C634" s="1">
        <v>3909</v>
      </c>
      <c r="D634" s="1" t="s">
        <v>22</v>
      </c>
      <c r="E634" s="1" t="s">
        <v>14</v>
      </c>
      <c r="F634" s="1">
        <v>2</v>
      </c>
    </row>
    <row r="635" spans="1:6" hidden="1" x14ac:dyDescent="0.35">
      <c r="A635" s="1">
        <v>8</v>
      </c>
      <c r="B635" s="1">
        <v>3909</v>
      </c>
      <c r="C635" s="1">
        <v>3914</v>
      </c>
      <c r="D635" s="1" t="s">
        <v>32</v>
      </c>
      <c r="E635" s="1" t="s">
        <v>29</v>
      </c>
      <c r="F635" s="1">
        <v>2</v>
      </c>
    </row>
    <row r="636" spans="1:6" hidden="1" x14ac:dyDescent="0.35">
      <c r="A636" s="1">
        <v>8</v>
      </c>
      <c r="B636" s="1">
        <v>3914</v>
      </c>
      <c r="C636" s="1">
        <v>3952</v>
      </c>
      <c r="D636" s="1" t="s">
        <v>22</v>
      </c>
      <c r="E636" s="1" t="s">
        <v>14</v>
      </c>
      <c r="F636" s="1">
        <v>2</v>
      </c>
    </row>
    <row r="637" spans="1:6" hidden="1" x14ac:dyDescent="0.35">
      <c r="A637" s="1">
        <v>8</v>
      </c>
      <c r="B637" s="1">
        <v>3952</v>
      </c>
      <c r="C637" s="1">
        <v>3956</v>
      </c>
      <c r="D637" s="1" t="s">
        <v>32</v>
      </c>
      <c r="E637" s="1" t="s">
        <v>29</v>
      </c>
      <c r="F637" s="1">
        <v>2</v>
      </c>
    </row>
    <row r="638" spans="1:6" hidden="1" x14ac:dyDescent="0.35">
      <c r="A638" s="1">
        <v>8</v>
      </c>
      <c r="B638" s="1">
        <v>3956</v>
      </c>
      <c r="C638" s="1">
        <v>3994</v>
      </c>
      <c r="D638" s="1" t="s">
        <v>22</v>
      </c>
      <c r="E638" s="1" t="s">
        <v>14</v>
      </c>
      <c r="F638" s="1">
        <v>2</v>
      </c>
    </row>
    <row r="639" spans="1:6" hidden="1" x14ac:dyDescent="0.35">
      <c r="A639" s="1">
        <v>8</v>
      </c>
      <c r="B639" s="1">
        <v>3994</v>
      </c>
      <c r="C639" s="1">
        <v>3999</v>
      </c>
      <c r="D639" s="1" t="s">
        <v>32</v>
      </c>
      <c r="E639" s="1" t="s">
        <v>29</v>
      </c>
      <c r="F639" s="1">
        <v>2</v>
      </c>
    </row>
    <row r="640" spans="1:6" hidden="1" x14ac:dyDescent="0.35">
      <c r="A640" s="1">
        <v>8</v>
      </c>
      <c r="B640" s="1">
        <v>3999</v>
      </c>
      <c r="C640" s="1">
        <v>4043</v>
      </c>
      <c r="D640" s="1" t="s">
        <v>22</v>
      </c>
      <c r="E640" s="1" t="s">
        <v>14</v>
      </c>
      <c r="F640" s="1">
        <v>2</v>
      </c>
    </row>
    <row r="641" spans="1:9" hidden="1" x14ac:dyDescent="0.35">
      <c r="A641" s="1">
        <v>8</v>
      </c>
      <c r="B641" s="1">
        <v>4043</v>
      </c>
      <c r="C641" s="1">
        <v>4047</v>
      </c>
      <c r="D641" s="1" t="s">
        <v>32</v>
      </c>
      <c r="E641" s="1" t="s">
        <v>29</v>
      </c>
      <c r="F641" s="1">
        <v>2</v>
      </c>
    </row>
    <row r="642" spans="1:9" hidden="1" x14ac:dyDescent="0.35">
      <c r="A642" s="1">
        <v>8</v>
      </c>
      <c r="B642" s="1">
        <v>4047</v>
      </c>
      <c r="C642" s="1">
        <v>4090</v>
      </c>
      <c r="D642" s="1" t="s">
        <v>22</v>
      </c>
      <c r="E642" s="1" t="s">
        <v>14</v>
      </c>
      <c r="F642" s="1">
        <v>2</v>
      </c>
    </row>
    <row r="643" spans="1:9" hidden="1" x14ac:dyDescent="0.35">
      <c r="A643" s="1">
        <v>8</v>
      </c>
      <c r="B643" s="1">
        <v>4090</v>
      </c>
      <c r="C643" s="1">
        <v>4095</v>
      </c>
      <c r="D643" s="1" t="s">
        <v>32</v>
      </c>
      <c r="E643" s="1" t="s">
        <v>29</v>
      </c>
      <c r="F643" s="1">
        <v>2</v>
      </c>
    </row>
    <row r="644" spans="1:9" hidden="1" x14ac:dyDescent="0.35">
      <c r="A644" s="1">
        <v>8</v>
      </c>
      <c r="B644" s="1">
        <v>4095</v>
      </c>
      <c r="C644" s="1">
        <v>4127</v>
      </c>
      <c r="D644" s="1" t="s">
        <v>22</v>
      </c>
      <c r="E644" s="1" t="s">
        <v>14</v>
      </c>
      <c r="F644" s="1">
        <v>2</v>
      </c>
    </row>
    <row r="645" spans="1:9" hidden="1" x14ac:dyDescent="0.35">
      <c r="A645" s="1">
        <v>8</v>
      </c>
      <c r="B645" s="1">
        <v>4127</v>
      </c>
      <c r="C645" s="1">
        <v>4131</v>
      </c>
      <c r="D645" s="1" t="s">
        <v>32</v>
      </c>
      <c r="E645" s="1" t="s">
        <v>29</v>
      </c>
      <c r="F645" s="1">
        <v>2</v>
      </c>
    </row>
    <row r="646" spans="1:9" hidden="1" x14ac:dyDescent="0.35">
      <c r="A646" s="1">
        <v>8</v>
      </c>
      <c r="B646" s="1">
        <v>4131</v>
      </c>
      <c r="C646" s="1">
        <v>4173</v>
      </c>
      <c r="D646" s="1" t="s">
        <v>22</v>
      </c>
      <c r="E646" s="1" t="s">
        <v>14</v>
      </c>
      <c r="F646" s="1">
        <v>2</v>
      </c>
    </row>
    <row r="647" spans="1:9" hidden="1" x14ac:dyDescent="0.35">
      <c r="A647" s="1">
        <v>8</v>
      </c>
      <c r="B647" s="1">
        <v>4173</v>
      </c>
      <c r="C647" s="1">
        <v>4178</v>
      </c>
      <c r="D647" s="1" t="s">
        <v>32</v>
      </c>
      <c r="E647" s="1" t="s">
        <v>29</v>
      </c>
      <c r="F647" s="1">
        <v>2</v>
      </c>
    </row>
    <row r="648" spans="1:9" hidden="1" x14ac:dyDescent="0.35">
      <c r="A648" s="1">
        <v>8</v>
      </c>
      <c r="B648" s="1">
        <v>4178</v>
      </c>
      <c r="C648" s="1">
        <v>4205</v>
      </c>
      <c r="D648" s="1" t="s">
        <v>12</v>
      </c>
      <c r="E648" s="1" t="s">
        <v>19</v>
      </c>
      <c r="F648" s="1">
        <v>2</v>
      </c>
      <c r="I648">
        <f>C648-B648</f>
        <v>27</v>
      </c>
    </row>
    <row r="649" spans="1:9" hidden="1" x14ac:dyDescent="0.35">
      <c r="A649" s="1">
        <v>8</v>
      </c>
      <c r="B649" s="1">
        <v>4205</v>
      </c>
      <c r="C649" s="1">
        <v>4215</v>
      </c>
      <c r="D649" s="1" t="s">
        <v>12</v>
      </c>
      <c r="E649" s="1" t="s">
        <v>14</v>
      </c>
      <c r="F649" s="1">
        <v>2</v>
      </c>
    </row>
    <row r="650" spans="1:9" hidden="1" x14ac:dyDescent="0.35">
      <c r="A650" s="1">
        <v>8</v>
      </c>
      <c r="B650" s="1">
        <v>4215</v>
      </c>
      <c r="C650" s="1">
        <v>4224</v>
      </c>
      <c r="D650" s="1" t="s">
        <v>12</v>
      </c>
      <c r="E650" s="1" t="s">
        <v>25</v>
      </c>
      <c r="F650" s="1">
        <v>2</v>
      </c>
      <c r="I650">
        <f>C650-B650</f>
        <v>9</v>
      </c>
    </row>
    <row r="651" spans="1:9" hidden="1" x14ac:dyDescent="0.35">
      <c r="A651" s="1">
        <v>8</v>
      </c>
      <c r="B651" s="1">
        <v>4224</v>
      </c>
      <c r="C651" s="1">
        <v>4335</v>
      </c>
      <c r="D651" s="1" t="s">
        <v>22</v>
      </c>
      <c r="E651" s="1" t="s">
        <v>14</v>
      </c>
      <c r="F651" s="1">
        <v>2</v>
      </c>
    </row>
    <row r="652" spans="1:9" hidden="1" x14ac:dyDescent="0.35">
      <c r="A652" s="1">
        <v>8</v>
      </c>
      <c r="B652" s="1">
        <v>4335</v>
      </c>
      <c r="C652" s="1">
        <v>4351</v>
      </c>
      <c r="D652" s="1" t="s">
        <v>32</v>
      </c>
      <c r="E652" s="1" t="s">
        <v>29</v>
      </c>
      <c r="F652" s="1">
        <v>2</v>
      </c>
    </row>
    <row r="653" spans="1:9" hidden="1" x14ac:dyDescent="0.35">
      <c r="A653" s="1">
        <v>8</v>
      </c>
      <c r="B653" s="1">
        <v>4351</v>
      </c>
      <c r="C653" s="1">
        <v>4428</v>
      </c>
      <c r="D653" s="1" t="s">
        <v>22</v>
      </c>
      <c r="E653" s="1" t="s">
        <v>14</v>
      </c>
      <c r="F653" s="1">
        <v>2</v>
      </c>
    </row>
    <row r="654" spans="1:9" hidden="1" x14ac:dyDescent="0.35">
      <c r="A654" s="1">
        <v>8</v>
      </c>
      <c r="B654" s="1">
        <v>4428</v>
      </c>
      <c r="C654" s="1">
        <v>4434</v>
      </c>
      <c r="D654" s="1" t="s">
        <v>32</v>
      </c>
      <c r="E654" s="1" t="s">
        <v>29</v>
      </c>
      <c r="F654" s="1">
        <v>2</v>
      </c>
    </row>
    <row r="655" spans="1:9" hidden="1" x14ac:dyDescent="0.35">
      <c r="A655" s="1">
        <v>8</v>
      </c>
      <c r="B655" s="1">
        <v>4434</v>
      </c>
      <c r="C655" s="1">
        <v>4499</v>
      </c>
      <c r="D655" s="1" t="s">
        <v>22</v>
      </c>
      <c r="E655" s="1" t="s">
        <v>14</v>
      </c>
      <c r="F655" s="1">
        <v>2</v>
      </c>
    </row>
    <row r="656" spans="1:9" hidden="1" x14ac:dyDescent="0.35">
      <c r="A656" s="1">
        <v>8</v>
      </c>
      <c r="B656" s="1">
        <v>4499</v>
      </c>
      <c r="C656" s="1">
        <v>4504</v>
      </c>
      <c r="D656" s="1" t="s">
        <v>32</v>
      </c>
      <c r="E656" s="1" t="s">
        <v>29</v>
      </c>
      <c r="F656" s="1">
        <v>2</v>
      </c>
    </row>
    <row r="657" spans="1:9" hidden="1" x14ac:dyDescent="0.35">
      <c r="A657" s="1">
        <v>8</v>
      </c>
      <c r="B657" s="1">
        <v>4504</v>
      </c>
      <c r="C657" s="1">
        <v>4543</v>
      </c>
      <c r="D657" s="1" t="s">
        <v>12</v>
      </c>
      <c r="E657" s="1" t="s">
        <v>19</v>
      </c>
      <c r="F657" s="1">
        <v>2</v>
      </c>
      <c r="I657">
        <f>C657-B657</f>
        <v>39</v>
      </c>
    </row>
    <row r="658" spans="1:9" hidden="1" x14ac:dyDescent="0.35">
      <c r="A658" s="1">
        <v>8</v>
      </c>
      <c r="B658" s="1">
        <v>4543</v>
      </c>
      <c r="C658" s="1">
        <v>4646</v>
      </c>
      <c r="D658" s="1" t="s">
        <v>22</v>
      </c>
      <c r="E658" s="1" t="s">
        <v>14</v>
      </c>
      <c r="F658" s="1">
        <v>2</v>
      </c>
    </row>
    <row r="659" spans="1:9" hidden="1" x14ac:dyDescent="0.35">
      <c r="A659" s="1">
        <v>8</v>
      </c>
      <c r="B659" s="1">
        <v>4646</v>
      </c>
      <c r="C659" s="1">
        <v>4654</v>
      </c>
      <c r="D659" s="1" t="s">
        <v>32</v>
      </c>
      <c r="E659" s="1" t="s">
        <v>29</v>
      </c>
      <c r="F659" s="1">
        <v>2</v>
      </c>
    </row>
    <row r="660" spans="1:9" hidden="1" x14ac:dyDescent="0.35">
      <c r="A660" s="1">
        <v>8</v>
      </c>
      <c r="B660" s="1">
        <v>4654</v>
      </c>
      <c r="C660" s="1">
        <v>4726</v>
      </c>
      <c r="D660" s="1" t="s">
        <v>22</v>
      </c>
      <c r="E660" s="1" t="s">
        <v>14</v>
      </c>
      <c r="F660" s="1">
        <v>2</v>
      </c>
    </row>
    <row r="661" spans="1:9" hidden="1" x14ac:dyDescent="0.35">
      <c r="A661" s="1">
        <v>8</v>
      </c>
      <c r="B661" s="1">
        <v>4726</v>
      </c>
      <c r="C661" s="1">
        <v>4730</v>
      </c>
      <c r="D661" s="1" t="s">
        <v>32</v>
      </c>
      <c r="E661" s="1" t="s">
        <v>29</v>
      </c>
      <c r="F661" s="1">
        <v>2</v>
      </c>
    </row>
    <row r="662" spans="1:9" hidden="1" x14ac:dyDescent="0.35">
      <c r="A662" s="1">
        <v>8</v>
      </c>
      <c r="B662" s="1">
        <v>4730</v>
      </c>
      <c r="C662" s="1">
        <v>4772</v>
      </c>
      <c r="D662" s="1" t="s">
        <v>22</v>
      </c>
      <c r="E662" s="1" t="s">
        <v>14</v>
      </c>
      <c r="F662" s="1">
        <v>2</v>
      </c>
    </row>
    <row r="663" spans="1:9" hidden="1" x14ac:dyDescent="0.35">
      <c r="A663" s="1">
        <v>8</v>
      </c>
      <c r="B663" s="1">
        <v>4772</v>
      </c>
      <c r="C663" s="1">
        <v>4776</v>
      </c>
      <c r="D663" s="1" t="s">
        <v>32</v>
      </c>
      <c r="E663" s="1" t="s">
        <v>29</v>
      </c>
      <c r="F663" s="1">
        <v>2</v>
      </c>
    </row>
    <row r="664" spans="1:9" hidden="1" x14ac:dyDescent="0.35">
      <c r="A664" s="1">
        <v>8</v>
      </c>
      <c r="B664" s="1">
        <v>4776</v>
      </c>
      <c r="C664" s="1">
        <v>4822</v>
      </c>
      <c r="D664" s="1" t="s">
        <v>22</v>
      </c>
      <c r="E664" s="1" t="s">
        <v>14</v>
      </c>
      <c r="F664" s="1">
        <v>2</v>
      </c>
    </row>
    <row r="665" spans="1:9" hidden="1" x14ac:dyDescent="0.35">
      <c r="A665" s="1">
        <v>8</v>
      </c>
      <c r="B665" s="1">
        <v>4822</v>
      </c>
      <c r="C665" s="1">
        <v>4826</v>
      </c>
      <c r="D665" s="1" t="s">
        <v>32</v>
      </c>
      <c r="E665" s="1" t="s">
        <v>29</v>
      </c>
      <c r="F665" s="1">
        <v>2</v>
      </c>
    </row>
    <row r="666" spans="1:9" hidden="1" x14ac:dyDescent="0.35">
      <c r="A666" s="1">
        <v>8</v>
      </c>
      <c r="B666" s="1">
        <v>4826</v>
      </c>
      <c r="C666" s="1">
        <v>4981</v>
      </c>
      <c r="D666" s="1" t="s">
        <v>22</v>
      </c>
      <c r="E666" s="1" t="s">
        <v>14</v>
      </c>
      <c r="F666" s="1">
        <v>2</v>
      </c>
    </row>
    <row r="667" spans="1:9" hidden="1" x14ac:dyDescent="0.35">
      <c r="A667" s="1">
        <v>8</v>
      </c>
      <c r="B667" s="1">
        <v>4981</v>
      </c>
      <c r="C667" s="1">
        <v>4988</v>
      </c>
      <c r="D667" s="1" t="s">
        <v>32</v>
      </c>
      <c r="E667" s="1" t="s">
        <v>29</v>
      </c>
      <c r="F667" s="1">
        <v>2</v>
      </c>
    </row>
    <row r="668" spans="1:9" hidden="1" x14ac:dyDescent="0.35">
      <c r="A668" s="1">
        <v>8</v>
      </c>
      <c r="B668" s="1">
        <v>4988</v>
      </c>
      <c r="C668" s="1">
        <v>5052</v>
      </c>
      <c r="D668" s="1" t="s">
        <v>12</v>
      </c>
      <c r="E668" s="1" t="s">
        <v>19</v>
      </c>
      <c r="F668" s="1">
        <v>2</v>
      </c>
      <c r="I668">
        <f>C668-B668</f>
        <v>64</v>
      </c>
    </row>
    <row r="669" spans="1:9" hidden="1" x14ac:dyDescent="0.35">
      <c r="A669" s="1">
        <v>8</v>
      </c>
      <c r="B669" s="1">
        <v>5052</v>
      </c>
      <c r="C669" s="1">
        <v>5194</v>
      </c>
      <c r="D669" s="1" t="s">
        <v>22</v>
      </c>
      <c r="E669" s="1" t="s">
        <v>14</v>
      </c>
      <c r="F669" s="1">
        <v>2</v>
      </c>
    </row>
    <row r="670" spans="1:9" hidden="1" x14ac:dyDescent="0.35">
      <c r="A670" s="1">
        <v>8</v>
      </c>
      <c r="B670" s="1">
        <v>5194</v>
      </c>
      <c r="C670" s="1">
        <v>5227</v>
      </c>
      <c r="D670" s="1" t="s">
        <v>32</v>
      </c>
      <c r="E670" s="1" t="s">
        <v>33</v>
      </c>
      <c r="F670" s="1">
        <v>2</v>
      </c>
    </row>
    <row r="671" spans="1:9" hidden="1" x14ac:dyDescent="0.35">
      <c r="A671" s="1">
        <v>8</v>
      </c>
      <c r="B671" s="1">
        <v>5227</v>
      </c>
      <c r="C671" s="1">
        <v>5358</v>
      </c>
      <c r="D671" s="1" t="s">
        <v>22</v>
      </c>
      <c r="E671" s="1" t="s">
        <v>14</v>
      </c>
      <c r="F671" s="1">
        <v>2</v>
      </c>
    </row>
    <row r="672" spans="1:9" hidden="1" x14ac:dyDescent="0.35">
      <c r="A672" s="1">
        <v>8</v>
      </c>
      <c r="B672" s="1">
        <v>5358</v>
      </c>
      <c r="C672" s="1">
        <v>5363</v>
      </c>
      <c r="D672" s="1" t="s">
        <v>32</v>
      </c>
      <c r="E672" s="1" t="s">
        <v>29</v>
      </c>
      <c r="F672" s="1">
        <v>2</v>
      </c>
    </row>
    <row r="673" spans="1:9" hidden="1" x14ac:dyDescent="0.35">
      <c r="A673" s="1">
        <v>8</v>
      </c>
      <c r="B673" s="1">
        <v>5363</v>
      </c>
      <c r="C673" s="1">
        <v>5538</v>
      </c>
      <c r="D673" s="1" t="s">
        <v>22</v>
      </c>
      <c r="E673" s="1" t="s">
        <v>14</v>
      </c>
      <c r="F673" s="1">
        <v>2</v>
      </c>
    </row>
    <row r="674" spans="1:9" hidden="1" x14ac:dyDescent="0.35">
      <c r="A674" s="1">
        <v>8</v>
      </c>
      <c r="B674" s="1">
        <v>5538</v>
      </c>
      <c r="C674" s="1">
        <v>5544</v>
      </c>
      <c r="D674" s="1" t="s">
        <v>32</v>
      </c>
      <c r="E674" s="1" t="s">
        <v>29</v>
      </c>
      <c r="F674" s="1">
        <v>2</v>
      </c>
    </row>
    <row r="675" spans="1:9" hidden="1" x14ac:dyDescent="0.35">
      <c r="A675" s="1">
        <v>8</v>
      </c>
      <c r="B675" s="1">
        <v>5544</v>
      </c>
      <c r="C675" s="1">
        <v>5846</v>
      </c>
      <c r="D675" s="1" t="s">
        <v>22</v>
      </c>
      <c r="E675" s="1" t="s">
        <v>14</v>
      </c>
      <c r="F675" s="1">
        <v>2</v>
      </c>
    </row>
    <row r="676" spans="1:9" hidden="1" x14ac:dyDescent="0.35">
      <c r="A676" s="1">
        <v>8</v>
      </c>
      <c r="B676" s="1">
        <v>5846</v>
      </c>
      <c r="C676" s="1">
        <v>5855</v>
      </c>
      <c r="D676" s="1" t="s">
        <v>32</v>
      </c>
      <c r="E676" s="1" t="s">
        <v>29</v>
      </c>
      <c r="F676" s="1">
        <v>2</v>
      </c>
    </row>
    <row r="677" spans="1:9" hidden="1" x14ac:dyDescent="0.35">
      <c r="A677" s="1">
        <v>8</v>
      </c>
      <c r="B677" s="1">
        <v>5855</v>
      </c>
      <c r="C677" s="1">
        <v>5974</v>
      </c>
      <c r="D677" s="1" t="s">
        <v>22</v>
      </c>
      <c r="E677" s="1" t="s">
        <v>14</v>
      </c>
      <c r="F677" s="1">
        <v>2</v>
      </c>
    </row>
    <row r="678" spans="1:9" hidden="1" x14ac:dyDescent="0.35">
      <c r="A678" s="1">
        <v>8</v>
      </c>
      <c r="B678" s="1">
        <v>5974</v>
      </c>
      <c r="C678" s="1">
        <v>5998</v>
      </c>
      <c r="D678" s="3" t="s">
        <v>12</v>
      </c>
      <c r="E678" s="3" t="s">
        <v>21</v>
      </c>
      <c r="F678" s="1">
        <v>2</v>
      </c>
      <c r="I678">
        <f>C678-B678</f>
        <v>24</v>
      </c>
    </row>
    <row r="679" spans="1:9" hidden="1" x14ac:dyDescent="0.35">
      <c r="A679" s="1">
        <v>8</v>
      </c>
      <c r="B679" s="1">
        <v>5998</v>
      </c>
      <c r="C679" s="1">
        <v>6051</v>
      </c>
      <c r="D679" s="1" t="s">
        <v>12</v>
      </c>
      <c r="E679" s="1" t="s">
        <v>14</v>
      </c>
      <c r="F679" s="1">
        <v>2</v>
      </c>
    </row>
    <row r="680" spans="1:9" hidden="1" x14ac:dyDescent="0.35">
      <c r="A680" s="1">
        <v>8</v>
      </c>
      <c r="B680" s="1">
        <v>6051</v>
      </c>
      <c r="C680" s="1">
        <v>6060</v>
      </c>
      <c r="D680" s="1" t="s">
        <v>32</v>
      </c>
      <c r="E680" s="1" t="s">
        <v>29</v>
      </c>
      <c r="F680" s="1">
        <v>2</v>
      </c>
    </row>
    <row r="681" spans="1:9" hidden="1" x14ac:dyDescent="0.35">
      <c r="A681" s="1">
        <v>8</v>
      </c>
      <c r="B681" s="1">
        <v>6060</v>
      </c>
      <c r="C681" s="1">
        <v>6097</v>
      </c>
      <c r="D681" s="4" t="s">
        <v>31</v>
      </c>
      <c r="E681" s="4"/>
      <c r="F681" s="1">
        <v>3</v>
      </c>
    </row>
    <row r="682" spans="1:9" hidden="1" x14ac:dyDescent="0.35">
      <c r="A682" s="1">
        <v>8</v>
      </c>
      <c r="B682" s="1">
        <v>6097</v>
      </c>
      <c r="C682" s="1">
        <v>6110</v>
      </c>
      <c r="D682" s="1" t="s">
        <v>22</v>
      </c>
      <c r="E682" s="1" t="s">
        <v>14</v>
      </c>
      <c r="F682" s="1">
        <v>3</v>
      </c>
    </row>
    <row r="683" spans="1:9" hidden="1" x14ac:dyDescent="0.35">
      <c r="A683" s="1">
        <v>8</v>
      </c>
      <c r="B683" s="1">
        <v>6110</v>
      </c>
      <c r="C683" s="1">
        <v>6175</v>
      </c>
      <c r="D683" s="1" t="s">
        <v>12</v>
      </c>
      <c r="E683" s="1" t="s">
        <v>19</v>
      </c>
      <c r="F683" s="1">
        <v>3</v>
      </c>
      <c r="I683">
        <f>C683-B683</f>
        <v>65</v>
      </c>
    </row>
    <row r="684" spans="1:9" hidden="1" x14ac:dyDescent="0.35">
      <c r="A684" s="1">
        <v>8</v>
      </c>
      <c r="B684" s="1">
        <v>6175</v>
      </c>
      <c r="C684" s="1">
        <v>6195</v>
      </c>
      <c r="D684" s="1" t="s">
        <v>32</v>
      </c>
      <c r="F684" s="1">
        <v>3</v>
      </c>
    </row>
    <row r="685" spans="1:9" hidden="1" x14ac:dyDescent="0.35">
      <c r="A685" s="1">
        <v>8</v>
      </c>
      <c r="B685" s="1">
        <v>6195</v>
      </c>
      <c r="C685" s="1">
        <v>6237</v>
      </c>
      <c r="D685" s="1" t="s">
        <v>12</v>
      </c>
      <c r="E685" s="1" t="s">
        <v>19</v>
      </c>
      <c r="F685" s="1">
        <v>3</v>
      </c>
      <c r="I685">
        <f t="shared" ref="I685:I686" si="11">C685-B685</f>
        <v>42</v>
      </c>
    </row>
    <row r="686" spans="1:9" hidden="1" x14ac:dyDescent="0.35">
      <c r="A686" s="1">
        <v>8</v>
      </c>
      <c r="B686" s="1">
        <v>6237</v>
      </c>
      <c r="C686" s="1">
        <v>6290</v>
      </c>
      <c r="D686" s="1" t="s">
        <v>12</v>
      </c>
      <c r="E686" s="1" t="s">
        <v>19</v>
      </c>
      <c r="F686" s="1">
        <v>3</v>
      </c>
      <c r="I686">
        <f t="shared" si="11"/>
        <v>53</v>
      </c>
    </row>
    <row r="687" spans="1:9" hidden="1" x14ac:dyDescent="0.35">
      <c r="A687" s="1">
        <v>8</v>
      </c>
      <c r="B687" s="1">
        <v>6290</v>
      </c>
      <c r="C687" s="1">
        <v>6300</v>
      </c>
      <c r="D687" s="1" t="s">
        <v>17</v>
      </c>
      <c r="F687" s="1">
        <v>3</v>
      </c>
    </row>
    <row r="688" spans="1:9" hidden="1" x14ac:dyDescent="0.35">
      <c r="A688" s="1">
        <v>8</v>
      </c>
      <c r="B688" s="1">
        <v>6300</v>
      </c>
      <c r="C688" s="1">
        <v>6333</v>
      </c>
      <c r="D688" s="1" t="s">
        <v>22</v>
      </c>
      <c r="E688" s="1" t="s">
        <v>14</v>
      </c>
      <c r="F688" s="1">
        <v>3</v>
      </c>
    </row>
    <row r="689" spans="1:9" hidden="1" x14ac:dyDescent="0.35">
      <c r="A689" s="1">
        <v>8</v>
      </c>
      <c r="B689" s="1">
        <v>6333</v>
      </c>
      <c r="C689" s="1">
        <v>6393</v>
      </c>
      <c r="D689" s="1" t="s">
        <v>12</v>
      </c>
      <c r="E689" s="1" t="s">
        <v>19</v>
      </c>
      <c r="F689" s="1">
        <v>3</v>
      </c>
      <c r="I689">
        <f>C689-B689</f>
        <v>60</v>
      </c>
    </row>
    <row r="690" spans="1:9" hidden="1" x14ac:dyDescent="0.35">
      <c r="A690" s="1">
        <v>8</v>
      </c>
      <c r="B690" s="1">
        <v>6393</v>
      </c>
      <c r="C690" s="1">
        <v>6408</v>
      </c>
      <c r="D690" s="1" t="s">
        <v>17</v>
      </c>
      <c r="F690" s="1">
        <v>3</v>
      </c>
    </row>
    <row r="691" spans="1:9" hidden="1" x14ac:dyDescent="0.35">
      <c r="A691" s="1">
        <v>8</v>
      </c>
      <c r="B691" s="1">
        <v>6408</v>
      </c>
      <c r="C691" s="1">
        <v>6459</v>
      </c>
      <c r="D691" s="1" t="s">
        <v>12</v>
      </c>
      <c r="E691" s="1" t="s">
        <v>19</v>
      </c>
      <c r="F691" s="1">
        <v>3</v>
      </c>
      <c r="I691">
        <f>C691-B691</f>
        <v>51</v>
      </c>
    </row>
    <row r="692" spans="1:9" hidden="1" x14ac:dyDescent="0.35">
      <c r="A692" s="1">
        <v>8</v>
      </c>
      <c r="B692" s="1">
        <v>6459</v>
      </c>
      <c r="C692" s="1">
        <v>6752</v>
      </c>
      <c r="D692" s="1" t="s">
        <v>22</v>
      </c>
      <c r="E692" s="1" t="s">
        <v>14</v>
      </c>
      <c r="F692" s="1">
        <v>3</v>
      </c>
    </row>
    <row r="693" spans="1:9" hidden="1" x14ac:dyDescent="0.35">
      <c r="A693" s="1">
        <v>8</v>
      </c>
      <c r="B693" s="1">
        <v>6752</v>
      </c>
      <c r="C693" s="1">
        <v>6775</v>
      </c>
      <c r="D693" s="1" t="s">
        <v>12</v>
      </c>
      <c r="E693" s="1" t="s">
        <v>19</v>
      </c>
      <c r="F693" s="1">
        <v>3</v>
      </c>
      <c r="I693">
        <f>C693-B693</f>
        <v>23</v>
      </c>
    </row>
    <row r="694" spans="1:9" hidden="1" x14ac:dyDescent="0.35">
      <c r="A694" s="1">
        <v>8</v>
      </c>
      <c r="B694" s="1">
        <v>6775</v>
      </c>
      <c r="C694" s="1">
        <v>6786</v>
      </c>
      <c r="D694" s="1" t="s">
        <v>32</v>
      </c>
      <c r="F694" s="1">
        <v>3</v>
      </c>
    </row>
    <row r="695" spans="1:9" hidden="1" x14ac:dyDescent="0.35">
      <c r="A695" s="1">
        <v>8</v>
      </c>
      <c r="B695" s="1">
        <v>6786</v>
      </c>
      <c r="C695" s="1">
        <v>6845</v>
      </c>
      <c r="D695" s="1" t="s">
        <v>12</v>
      </c>
      <c r="E695" s="1" t="s">
        <v>19</v>
      </c>
      <c r="F695" s="1">
        <v>3</v>
      </c>
      <c r="I695">
        <f>C695-B695</f>
        <v>59</v>
      </c>
    </row>
    <row r="696" spans="1:9" hidden="1" x14ac:dyDescent="0.35">
      <c r="A696" s="1">
        <v>8</v>
      </c>
      <c r="B696" s="1">
        <v>6845</v>
      </c>
      <c r="C696" s="1">
        <v>6973</v>
      </c>
      <c r="D696" s="1" t="s">
        <v>22</v>
      </c>
      <c r="E696" s="1" t="s">
        <v>14</v>
      </c>
      <c r="F696" s="1">
        <v>3</v>
      </c>
    </row>
    <row r="697" spans="1:9" hidden="1" x14ac:dyDescent="0.35">
      <c r="A697" s="1">
        <v>8</v>
      </c>
      <c r="B697" s="1">
        <v>6973</v>
      </c>
      <c r="C697" s="1">
        <v>7007</v>
      </c>
      <c r="D697" s="3" t="s">
        <v>12</v>
      </c>
      <c r="E697" s="3" t="s">
        <v>21</v>
      </c>
      <c r="F697" s="1">
        <v>3</v>
      </c>
      <c r="I697">
        <f>C697-B697</f>
        <v>34</v>
      </c>
    </row>
    <row r="698" spans="1:9" hidden="1" x14ac:dyDescent="0.35">
      <c r="A698" s="1">
        <v>8</v>
      </c>
      <c r="B698" s="1">
        <v>7007</v>
      </c>
      <c r="C698" s="1">
        <v>7051</v>
      </c>
      <c r="D698" s="1" t="s">
        <v>12</v>
      </c>
      <c r="E698" s="1" t="s">
        <v>14</v>
      </c>
      <c r="F698" s="1">
        <v>3</v>
      </c>
    </row>
  </sheetData>
  <autoFilter ref="A1:F698" xr:uid="{BD7C03BC-B325-4700-BF83-8FE7D43C91A6}">
    <filterColumn colId="3">
      <filters>
        <filter val="no_maze_tray"/>
      </filters>
    </filterColumn>
    <filterColumn colId="4">
      <filters>
        <filter val="contact"/>
        <filter val="discover"/>
        <filter val="inside"/>
        <filter val="solving"/>
        <filter val="trapped"/>
        <filter val="vigilant"/>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0D435-8CD6-4AB2-99A1-85C4656B4DCF}">
  <dimension ref="A1:E18"/>
  <sheetViews>
    <sheetView tabSelected="1" workbookViewId="0">
      <selection activeCell="B14" sqref="B14"/>
    </sheetView>
  </sheetViews>
  <sheetFormatPr defaultColWidth="8.7265625" defaultRowHeight="14.5" x14ac:dyDescent="0.35"/>
  <cols>
    <col min="1" max="1" width="18.90625" style="27" customWidth="1"/>
    <col min="2" max="2" width="43.90625" style="27" bestFit="1" customWidth="1"/>
    <col min="3" max="16384" width="8.7265625" style="27"/>
  </cols>
  <sheetData>
    <row r="1" spans="1:5" ht="18.5" x14ac:dyDescent="0.45">
      <c r="A1" s="25" t="s">
        <v>121</v>
      </c>
      <c r="B1" s="26"/>
      <c r="C1" s="26"/>
      <c r="D1" s="26"/>
      <c r="E1" s="26"/>
    </row>
    <row r="2" spans="1:5" x14ac:dyDescent="0.35">
      <c r="A2" s="26"/>
      <c r="B2" s="26"/>
      <c r="C2" s="26"/>
      <c r="D2" s="26"/>
      <c r="E2" s="26"/>
    </row>
    <row r="3" spans="1:5" ht="60.75" customHeight="1" x14ac:dyDescent="0.35">
      <c r="A3" s="34" t="s">
        <v>111</v>
      </c>
      <c r="B3" s="34"/>
      <c r="C3" s="26"/>
      <c r="D3" s="26"/>
      <c r="E3" s="26"/>
    </row>
    <row r="4" spans="1:5" x14ac:dyDescent="0.35">
      <c r="A4" s="26"/>
      <c r="B4" s="26"/>
      <c r="C4" s="26"/>
      <c r="D4" s="26"/>
      <c r="E4" s="26"/>
    </row>
    <row r="5" spans="1:5" x14ac:dyDescent="0.35">
      <c r="A5" s="26"/>
      <c r="B5" s="26"/>
      <c r="C5" s="26"/>
      <c r="D5" s="26"/>
      <c r="E5" s="26"/>
    </row>
    <row r="6" spans="1:5" x14ac:dyDescent="0.35">
      <c r="A6" s="26" t="s">
        <v>112</v>
      </c>
      <c r="B6" s="26"/>
      <c r="C6" s="26"/>
      <c r="D6" s="26"/>
      <c r="E6" s="26"/>
    </row>
    <row r="7" spans="1:5" x14ac:dyDescent="0.35">
      <c r="A7" s="26"/>
      <c r="B7" s="26"/>
      <c r="C7" s="26"/>
      <c r="D7" s="26"/>
      <c r="E7" s="26"/>
    </row>
    <row r="8" spans="1:5" x14ac:dyDescent="0.35">
      <c r="A8" s="28" t="s">
        <v>113</v>
      </c>
      <c r="B8" s="26"/>
      <c r="C8" s="26"/>
      <c r="D8" s="26"/>
      <c r="E8" s="26"/>
    </row>
    <row r="12" spans="1:5" x14ac:dyDescent="0.35">
      <c r="A12" s="27" t="s">
        <v>114</v>
      </c>
    </row>
    <row r="14" spans="1:5" x14ac:dyDescent="0.35">
      <c r="A14" s="27" t="s">
        <v>115</v>
      </c>
      <c r="B14" s="29" t="s">
        <v>116</v>
      </c>
    </row>
    <row r="15" spans="1:5" ht="29" x14ac:dyDescent="0.35">
      <c r="A15" s="27" t="s">
        <v>117</v>
      </c>
      <c r="B15" s="36" t="s">
        <v>119</v>
      </c>
    </row>
    <row r="16" spans="1:5" ht="29" x14ac:dyDescent="0.35">
      <c r="A16" s="27" t="s">
        <v>118</v>
      </c>
      <c r="B16" s="29" t="s">
        <v>120</v>
      </c>
    </row>
    <row r="18" spans="1:1" x14ac:dyDescent="0.35">
      <c r="A18" s="32"/>
    </row>
  </sheetData>
  <mergeCells count="1">
    <mergeCell ref="A3:B3"/>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FCDBF-9CB0-443D-8428-C668241843B7}">
  <dimension ref="A1:A18"/>
  <sheetViews>
    <sheetView workbookViewId="0">
      <selection activeCell="D16" sqref="D16"/>
    </sheetView>
  </sheetViews>
  <sheetFormatPr defaultRowHeight="14.5" x14ac:dyDescent="0.35"/>
  <cols>
    <col min="1" max="1" width="70.36328125" style="31" customWidth="1"/>
  </cols>
  <sheetData>
    <row r="1" spans="1:1" ht="15.5" x14ac:dyDescent="0.35">
      <c r="A1" s="30" t="s">
        <v>48</v>
      </c>
    </row>
    <row r="2" spans="1:1" ht="15.5" x14ac:dyDescent="0.35">
      <c r="A2" s="30" t="s">
        <v>49</v>
      </c>
    </row>
    <row r="3" spans="1:1" ht="15.5" x14ac:dyDescent="0.35">
      <c r="A3" s="30" t="s">
        <v>91</v>
      </c>
    </row>
    <row r="4" spans="1:1" ht="15.5" x14ac:dyDescent="0.35">
      <c r="A4" s="30" t="s">
        <v>50</v>
      </c>
    </row>
    <row r="5" spans="1:1" ht="15.5" x14ac:dyDescent="0.35">
      <c r="A5" s="30" t="s">
        <v>93</v>
      </c>
    </row>
    <row r="6" spans="1:1" ht="15.5" x14ac:dyDescent="0.35">
      <c r="A6" s="30" t="s">
        <v>95</v>
      </c>
    </row>
    <row r="7" spans="1:1" ht="31" x14ac:dyDescent="0.35">
      <c r="A7" s="30" t="s">
        <v>51</v>
      </c>
    </row>
    <row r="8" spans="1:1" ht="15.5" x14ac:dyDescent="0.35">
      <c r="A8" s="30" t="s">
        <v>97</v>
      </c>
    </row>
    <row r="9" spans="1:1" ht="31" x14ac:dyDescent="0.35">
      <c r="A9" s="30" t="s">
        <v>77</v>
      </c>
    </row>
    <row r="10" spans="1:1" ht="15.5" x14ac:dyDescent="0.35">
      <c r="A10" s="30" t="s">
        <v>88</v>
      </c>
    </row>
    <row r="11" spans="1:1" ht="31" x14ac:dyDescent="0.35">
      <c r="A11" s="30" t="s">
        <v>89</v>
      </c>
    </row>
    <row r="12" spans="1:1" ht="15.5" x14ac:dyDescent="0.35">
      <c r="A12" s="30" t="s">
        <v>52</v>
      </c>
    </row>
    <row r="13" spans="1:1" ht="31" x14ac:dyDescent="0.35">
      <c r="A13" s="30" t="s">
        <v>53</v>
      </c>
    </row>
    <row r="14" spans="1:1" ht="31" x14ac:dyDescent="0.35">
      <c r="A14" s="30" t="s">
        <v>99</v>
      </c>
    </row>
    <row r="15" spans="1:1" ht="31" x14ac:dyDescent="0.35">
      <c r="A15" s="30" t="s">
        <v>101</v>
      </c>
    </row>
    <row r="16" spans="1:1" ht="31" x14ac:dyDescent="0.35">
      <c r="A16" s="30" t="s">
        <v>102</v>
      </c>
    </row>
    <row r="18" spans="1:1" ht="87" x14ac:dyDescent="0.35">
      <c r="A18" s="33" t="s">
        <v>123</v>
      </c>
    </row>
  </sheetData>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4"/>
  <sheetViews>
    <sheetView workbookViewId="0">
      <selection activeCell="D19" sqref="D19"/>
    </sheetView>
  </sheetViews>
  <sheetFormatPr defaultRowHeight="14.5" x14ac:dyDescent="0.35"/>
  <cols>
    <col min="1" max="1" width="3.7265625" style="1" bestFit="1" customWidth="1"/>
    <col min="2" max="2" width="11.453125" style="14" bestFit="1" customWidth="1"/>
    <col min="3" max="3" width="8.7265625" style="13" bestFit="1" customWidth="1"/>
    <col min="4" max="4" width="16.90625" style="1" bestFit="1" customWidth="1"/>
    <col min="5" max="5" width="6.08984375" style="1" bestFit="1" customWidth="1"/>
    <col min="6" max="6" width="6.36328125" style="1" bestFit="1" customWidth="1"/>
    <col min="7" max="7" width="14.08984375" style="1" bestFit="1" customWidth="1"/>
    <col min="8" max="8" width="10.90625" style="1" bestFit="1" customWidth="1"/>
    <col min="9" max="9" width="10.7265625" style="1" bestFit="1" customWidth="1"/>
    <col min="10" max="10" width="9.08984375" style="1" bestFit="1" customWidth="1"/>
    <col min="11" max="11" width="5.7265625" bestFit="1" customWidth="1"/>
    <col min="12" max="12" width="9.90625" style="1" bestFit="1" customWidth="1"/>
    <col min="13" max="13" width="12.90625" style="1" bestFit="1" customWidth="1"/>
    <col min="14" max="14" width="5.90625" style="1" bestFit="1" customWidth="1"/>
    <col min="15" max="15" width="11.36328125" style="1" bestFit="1" customWidth="1"/>
    <col min="16" max="16" width="13" style="1" bestFit="1" customWidth="1"/>
    <col min="17" max="17" width="11.90625" style="1" customWidth="1"/>
    <col min="18" max="18" width="14.90625" style="1" bestFit="1" customWidth="1"/>
    <col min="19" max="19" width="14.90625" style="1" customWidth="1"/>
    <col min="20" max="20" width="89.36328125" style="1" bestFit="1" customWidth="1"/>
  </cols>
  <sheetData>
    <row r="1" spans="1:20" s="19" customFormat="1" x14ac:dyDescent="0.35">
      <c r="A1" s="19" t="s">
        <v>0</v>
      </c>
      <c r="B1" s="21" t="s">
        <v>1</v>
      </c>
      <c r="C1" s="22" t="s">
        <v>90</v>
      </c>
      <c r="D1" s="19" t="s">
        <v>2</v>
      </c>
      <c r="E1" s="19" t="s">
        <v>57</v>
      </c>
      <c r="F1" s="19" t="s">
        <v>56</v>
      </c>
      <c r="G1" s="19" t="s">
        <v>92</v>
      </c>
      <c r="H1" s="19" t="s">
        <v>94</v>
      </c>
      <c r="I1" s="19" t="s">
        <v>3</v>
      </c>
      <c r="J1" s="19" t="s">
        <v>96</v>
      </c>
      <c r="K1" s="19" t="s">
        <v>76</v>
      </c>
      <c r="L1" s="19" t="s">
        <v>86</v>
      </c>
      <c r="M1" s="19" t="s">
        <v>87</v>
      </c>
      <c r="N1" s="19" t="s">
        <v>6</v>
      </c>
      <c r="O1" s="19" t="s">
        <v>36</v>
      </c>
      <c r="P1" s="19" t="s">
        <v>98</v>
      </c>
      <c r="Q1" s="19" t="s">
        <v>100</v>
      </c>
      <c r="R1" s="19" t="s">
        <v>103</v>
      </c>
      <c r="S1" s="19" t="s">
        <v>60</v>
      </c>
      <c r="T1" s="19" t="s">
        <v>5</v>
      </c>
    </row>
    <row r="2" spans="1:20" s="1" customFormat="1" x14ac:dyDescent="0.35">
      <c r="A2" s="1">
        <v>1</v>
      </c>
      <c r="B2" s="14">
        <v>45166</v>
      </c>
      <c r="C2" s="13">
        <v>0.97222222222222221</v>
      </c>
      <c r="D2" s="19" t="s">
        <v>4</v>
      </c>
      <c r="G2" s="1">
        <v>65</v>
      </c>
      <c r="H2" s="1">
        <v>0</v>
      </c>
      <c r="I2" s="1">
        <v>0</v>
      </c>
      <c r="J2" s="1">
        <v>0.86</v>
      </c>
      <c r="K2" s="1">
        <v>4</v>
      </c>
      <c r="L2" s="1">
        <v>8.6999999999999993</v>
      </c>
      <c r="M2" s="1">
        <v>7.06</v>
      </c>
      <c r="N2" s="1">
        <v>3</v>
      </c>
      <c r="O2" s="1" t="s">
        <v>38</v>
      </c>
      <c r="R2" s="1">
        <v>60</v>
      </c>
      <c r="T2" s="19"/>
    </row>
    <row r="3" spans="1:20" s="1" customFormat="1" x14ac:dyDescent="0.35">
      <c r="A3" s="1">
        <v>2</v>
      </c>
      <c r="B3" s="14">
        <v>45168</v>
      </c>
      <c r="C3" s="13">
        <v>0.97569444444444453</v>
      </c>
      <c r="D3" s="19" t="s">
        <v>4</v>
      </c>
      <c r="G3" s="1">
        <v>45</v>
      </c>
      <c r="H3" s="1">
        <v>0</v>
      </c>
      <c r="I3" s="1">
        <v>0</v>
      </c>
      <c r="J3" s="1">
        <v>0.98</v>
      </c>
      <c r="K3" s="1">
        <v>5</v>
      </c>
      <c r="L3" s="8">
        <v>7.56</v>
      </c>
      <c r="M3" s="8">
        <v>8.73</v>
      </c>
      <c r="N3" s="1">
        <v>2</v>
      </c>
      <c r="O3" s="1" t="s">
        <v>37</v>
      </c>
      <c r="P3" s="1">
        <v>0</v>
      </c>
      <c r="Q3" s="24">
        <v>6.55043333333332</v>
      </c>
      <c r="R3" s="1">
        <f>60+54</f>
        <v>114</v>
      </c>
      <c r="T3" s="19" t="s">
        <v>28</v>
      </c>
    </row>
    <row r="4" spans="1:20" s="1" customFormat="1" x14ac:dyDescent="0.35">
      <c r="A4" s="1">
        <v>3</v>
      </c>
      <c r="B4" s="14">
        <v>45169</v>
      </c>
      <c r="C4" s="13">
        <v>0.92013888888888884</v>
      </c>
      <c r="D4" s="19" t="s">
        <v>63</v>
      </c>
      <c r="G4" s="1">
        <v>210</v>
      </c>
      <c r="H4" s="1">
        <v>0</v>
      </c>
      <c r="I4" s="1">
        <v>0</v>
      </c>
      <c r="J4" s="1">
        <v>1</v>
      </c>
      <c r="K4" s="1">
        <v>5</v>
      </c>
      <c r="L4" s="8">
        <v>8.58</v>
      </c>
      <c r="M4" s="8">
        <v>4.5</v>
      </c>
      <c r="N4" s="1">
        <v>1</v>
      </c>
      <c r="O4" s="1" t="s">
        <v>47</v>
      </c>
      <c r="P4" s="24">
        <v>13.230533333333339</v>
      </c>
      <c r="Q4" s="24">
        <v>5.9287666666666601</v>
      </c>
      <c r="R4" s="1">
        <f>60+32</f>
        <v>92</v>
      </c>
      <c r="T4" s="19"/>
    </row>
    <row r="5" spans="1:20" s="1" customFormat="1" x14ac:dyDescent="0.35">
      <c r="A5" s="1">
        <v>4</v>
      </c>
      <c r="B5" s="14">
        <v>45179</v>
      </c>
      <c r="C5" s="13">
        <v>0.9375</v>
      </c>
      <c r="D5" s="19" t="s">
        <v>63</v>
      </c>
      <c r="H5" s="1">
        <v>0</v>
      </c>
      <c r="I5" s="1">
        <v>0</v>
      </c>
      <c r="J5" s="1">
        <v>0.23</v>
      </c>
      <c r="K5" s="1">
        <v>8</v>
      </c>
      <c r="L5" s="8">
        <v>7.82</v>
      </c>
      <c r="M5" s="8">
        <v>1.21</v>
      </c>
      <c r="N5" s="1">
        <v>2</v>
      </c>
      <c r="O5" s="1" t="s">
        <v>37</v>
      </c>
      <c r="P5" s="24">
        <v>52.195833333333297</v>
      </c>
      <c r="Q5" s="24">
        <v>2.57426666666667</v>
      </c>
      <c r="R5" s="1">
        <f>60+45</f>
        <v>105</v>
      </c>
      <c r="T5" s="19"/>
    </row>
    <row r="6" spans="1:20" s="1" customFormat="1" x14ac:dyDescent="0.35">
      <c r="A6" s="1">
        <v>5</v>
      </c>
      <c r="B6" s="14">
        <v>45181</v>
      </c>
      <c r="C6" s="13">
        <v>0.91666666666666663</v>
      </c>
      <c r="D6" s="19" t="s">
        <v>63</v>
      </c>
      <c r="H6" s="1">
        <v>0</v>
      </c>
      <c r="I6" s="1">
        <v>0</v>
      </c>
      <c r="J6" s="1">
        <v>0.09</v>
      </c>
      <c r="K6" s="1">
        <v>8</v>
      </c>
      <c r="L6" s="8">
        <v>6.31</v>
      </c>
      <c r="M6" s="8">
        <v>0.97</v>
      </c>
      <c r="N6" s="1">
        <v>2</v>
      </c>
      <c r="O6" s="1" t="s">
        <v>37</v>
      </c>
      <c r="P6" s="24">
        <v>35.253783333333303</v>
      </c>
      <c r="Q6" s="24">
        <v>4.6820666666666595</v>
      </c>
      <c r="R6" s="1">
        <v>105</v>
      </c>
      <c r="T6" s="19" t="s">
        <v>46</v>
      </c>
    </row>
    <row r="7" spans="1:20" s="1" customFormat="1" x14ac:dyDescent="0.35">
      <c r="A7" s="1">
        <v>6</v>
      </c>
      <c r="B7" s="14">
        <v>45181</v>
      </c>
      <c r="C7" s="13">
        <v>2.0833333333333332E-2</v>
      </c>
      <c r="D7" s="19" t="s">
        <v>4</v>
      </c>
      <c r="H7" s="1">
        <v>0</v>
      </c>
      <c r="I7" s="1">
        <v>0</v>
      </c>
      <c r="J7" s="1">
        <v>0.09</v>
      </c>
      <c r="K7" s="1">
        <v>8</v>
      </c>
      <c r="L7" s="8">
        <v>7.06</v>
      </c>
      <c r="M7" s="8">
        <v>1.38</v>
      </c>
      <c r="N7" s="1">
        <v>3</v>
      </c>
      <c r="O7" s="1" t="s">
        <v>38</v>
      </c>
      <c r="P7" s="24">
        <v>19.526899999999998</v>
      </c>
      <c r="Q7" s="24">
        <v>3.50875</v>
      </c>
      <c r="R7" s="1">
        <v>103</v>
      </c>
      <c r="T7" s="19" t="s">
        <v>108</v>
      </c>
    </row>
    <row r="8" spans="1:20" s="1" customFormat="1" x14ac:dyDescent="0.35">
      <c r="A8" s="1">
        <v>7</v>
      </c>
      <c r="B8" s="14">
        <v>45182</v>
      </c>
      <c r="C8" s="13">
        <v>0.91666666666666663</v>
      </c>
      <c r="D8" s="19" t="s">
        <v>4</v>
      </c>
      <c r="H8" s="1">
        <v>0</v>
      </c>
      <c r="I8" s="1">
        <v>1</v>
      </c>
      <c r="J8" s="1">
        <v>0.05</v>
      </c>
      <c r="K8" s="1">
        <v>8</v>
      </c>
      <c r="L8" s="8">
        <v>8.16</v>
      </c>
      <c r="M8" s="8">
        <v>1.93</v>
      </c>
      <c r="N8" s="1">
        <v>2</v>
      </c>
      <c r="O8" s="1" t="s">
        <v>37</v>
      </c>
      <c r="P8" s="24">
        <v>31.1810166666667</v>
      </c>
      <c r="Q8" s="24">
        <v>3.4309500000000099</v>
      </c>
      <c r="R8" s="1">
        <v>96</v>
      </c>
      <c r="T8" s="19"/>
    </row>
    <row r="9" spans="1:20" s="1" customFormat="1" x14ac:dyDescent="0.35">
      <c r="A9" s="1">
        <v>8</v>
      </c>
      <c r="B9" s="14">
        <v>45183</v>
      </c>
      <c r="C9" s="13">
        <v>0.98611111111111116</v>
      </c>
      <c r="D9" s="19" t="s">
        <v>4</v>
      </c>
      <c r="G9" s="1">
        <v>50</v>
      </c>
      <c r="H9" s="1">
        <v>1</v>
      </c>
      <c r="I9" s="1">
        <v>0</v>
      </c>
      <c r="J9" s="1">
        <v>0.01</v>
      </c>
      <c r="K9" s="1">
        <v>1</v>
      </c>
      <c r="L9" s="8">
        <v>6.93</v>
      </c>
      <c r="M9" s="8">
        <v>0.54</v>
      </c>
      <c r="N9" s="1">
        <v>1</v>
      </c>
      <c r="O9" s="1" t="s">
        <v>37</v>
      </c>
      <c r="P9" s="24">
        <v>46.3566</v>
      </c>
      <c r="Q9" s="24">
        <v>6.0148666666666601</v>
      </c>
      <c r="R9" s="1">
        <v>117</v>
      </c>
      <c r="T9" s="19" t="s">
        <v>45</v>
      </c>
    </row>
    <row r="10" spans="1:20" s="1" customFormat="1" x14ac:dyDescent="0.35">
      <c r="A10" s="1">
        <v>9</v>
      </c>
      <c r="B10" s="14">
        <v>45418</v>
      </c>
      <c r="C10" s="13">
        <v>0.96875</v>
      </c>
      <c r="D10" s="19" t="s">
        <v>63</v>
      </c>
      <c r="G10" s="1">
        <v>80</v>
      </c>
      <c r="H10" s="1">
        <v>1</v>
      </c>
      <c r="I10" s="1">
        <v>0</v>
      </c>
      <c r="J10" s="1">
        <v>0.13</v>
      </c>
      <c r="K10" s="1">
        <v>8</v>
      </c>
      <c r="L10" s="8">
        <v>7.39</v>
      </c>
      <c r="M10" s="8">
        <v>0.54</v>
      </c>
      <c r="N10" s="1">
        <v>2</v>
      </c>
      <c r="O10" s="1" t="s">
        <v>37</v>
      </c>
      <c r="P10" s="24">
        <v>29.950949999999999</v>
      </c>
      <c r="Q10" s="24">
        <v>3.0542833333333301</v>
      </c>
      <c r="R10" s="1">
        <v>71</v>
      </c>
      <c r="T10" s="19" t="s">
        <v>43</v>
      </c>
    </row>
    <row r="11" spans="1:20" s="1" customFormat="1" x14ac:dyDescent="0.35">
      <c r="A11" s="1">
        <v>10</v>
      </c>
      <c r="B11" s="14">
        <v>45419</v>
      </c>
      <c r="C11" s="13">
        <v>0.91666666666666663</v>
      </c>
      <c r="D11" s="19" t="s">
        <v>4</v>
      </c>
      <c r="G11" s="1">
        <v>300</v>
      </c>
      <c r="H11" s="1">
        <v>0</v>
      </c>
      <c r="I11" s="1">
        <v>1</v>
      </c>
      <c r="J11" s="1">
        <v>0.2</v>
      </c>
      <c r="K11" s="1">
        <v>1</v>
      </c>
      <c r="L11" s="8">
        <v>7.23</v>
      </c>
      <c r="M11" s="8">
        <v>2.11</v>
      </c>
      <c r="N11" s="1">
        <v>3</v>
      </c>
      <c r="O11" s="1" t="s">
        <v>38</v>
      </c>
      <c r="P11" s="24">
        <v>13.3333333333333</v>
      </c>
      <c r="Q11" s="24">
        <v>3.2166666666666601</v>
      </c>
      <c r="R11" s="1">
        <v>69</v>
      </c>
      <c r="T11" s="19" t="s">
        <v>35</v>
      </c>
    </row>
    <row r="12" spans="1:20" s="1" customFormat="1" x14ac:dyDescent="0.35">
      <c r="A12" s="1">
        <v>11</v>
      </c>
      <c r="B12" s="14">
        <v>45420</v>
      </c>
      <c r="C12" s="13">
        <v>0.88194444444444442</v>
      </c>
      <c r="D12" s="19" t="s">
        <v>63</v>
      </c>
      <c r="G12" s="1">
        <v>1000</v>
      </c>
      <c r="H12" s="1">
        <v>0</v>
      </c>
      <c r="I12" s="1">
        <v>1</v>
      </c>
      <c r="J12" s="1">
        <v>0</v>
      </c>
      <c r="K12" s="1">
        <v>1</v>
      </c>
      <c r="L12" s="8">
        <v>7.32</v>
      </c>
      <c r="M12" s="8">
        <v>5.32</v>
      </c>
      <c r="N12" s="1">
        <v>2</v>
      </c>
      <c r="O12" s="1" t="s">
        <v>37</v>
      </c>
      <c r="P12" s="24">
        <v>11.4166666666667</v>
      </c>
      <c r="Q12" s="1">
        <v>6.75</v>
      </c>
      <c r="R12" s="1">
        <v>81</v>
      </c>
      <c r="T12" s="19" t="s">
        <v>44</v>
      </c>
    </row>
    <row r="13" spans="1:20" s="1" customFormat="1" x14ac:dyDescent="0.35">
      <c r="A13" s="1">
        <v>12</v>
      </c>
      <c r="B13" s="14">
        <v>45421</v>
      </c>
      <c r="C13" s="13">
        <v>0.90277777777777779</v>
      </c>
      <c r="D13" s="19" t="s">
        <v>4</v>
      </c>
      <c r="G13" s="1">
        <v>800</v>
      </c>
      <c r="H13" s="1">
        <v>0</v>
      </c>
      <c r="I13" s="1">
        <v>1</v>
      </c>
      <c r="J13" s="1">
        <v>0.1</v>
      </c>
      <c r="K13" s="1">
        <v>2</v>
      </c>
      <c r="L13" s="8">
        <v>8.69</v>
      </c>
      <c r="M13" s="8">
        <v>3.56</v>
      </c>
      <c r="N13" s="1">
        <v>1</v>
      </c>
      <c r="O13" s="1" t="s">
        <v>37</v>
      </c>
      <c r="P13" s="1">
        <v>20.350000000000001</v>
      </c>
      <c r="Q13" s="1">
        <v>1.65</v>
      </c>
      <c r="R13" s="1">
        <v>82</v>
      </c>
      <c r="T13" s="19" t="s">
        <v>42</v>
      </c>
    </row>
    <row r="14" spans="1:20" s="1" customFormat="1" x14ac:dyDescent="0.35">
      <c r="A14" s="1">
        <v>13</v>
      </c>
      <c r="B14" s="14">
        <v>45422</v>
      </c>
      <c r="C14" s="13">
        <v>0.97222222222222221</v>
      </c>
      <c r="D14" s="19" t="s">
        <v>63</v>
      </c>
      <c r="H14" s="1">
        <v>0</v>
      </c>
      <c r="I14" s="1">
        <v>0</v>
      </c>
      <c r="J14" s="1">
        <v>0.04</v>
      </c>
      <c r="K14" s="1">
        <v>2</v>
      </c>
      <c r="L14" s="1">
        <v>6.2</v>
      </c>
      <c r="M14" s="1">
        <v>8.3000000000000007</v>
      </c>
      <c r="N14" s="1">
        <v>1</v>
      </c>
      <c r="O14" s="1" t="s">
        <v>37</v>
      </c>
      <c r="R14" s="1">
        <v>60</v>
      </c>
      <c r="T14" s="19"/>
    </row>
    <row r="15" spans="1:20" s="1" customFormat="1" x14ac:dyDescent="0.35">
      <c r="A15" s="1">
        <v>14</v>
      </c>
      <c r="B15" s="14">
        <v>45432</v>
      </c>
      <c r="C15" s="13">
        <v>0.88888888888888884</v>
      </c>
      <c r="D15" s="19" t="s">
        <v>4</v>
      </c>
      <c r="G15" s="1">
        <v>300</v>
      </c>
      <c r="H15" s="1">
        <v>1</v>
      </c>
      <c r="I15" s="1">
        <v>0</v>
      </c>
      <c r="J15" s="1">
        <v>0.87</v>
      </c>
      <c r="K15" s="1">
        <v>4</v>
      </c>
      <c r="L15" s="8">
        <v>8.43</v>
      </c>
      <c r="M15" s="8">
        <v>9</v>
      </c>
      <c r="N15" s="1">
        <v>1</v>
      </c>
      <c r="O15" s="1" t="s">
        <v>37</v>
      </c>
      <c r="P15" s="1">
        <v>0</v>
      </c>
      <c r="Q15" s="24">
        <v>3.6666666666666701</v>
      </c>
      <c r="R15" s="1">
        <v>67</v>
      </c>
      <c r="T15" s="19" t="s">
        <v>41</v>
      </c>
    </row>
    <row r="16" spans="1:20" s="1" customFormat="1" x14ac:dyDescent="0.35">
      <c r="A16" s="1">
        <v>15</v>
      </c>
      <c r="B16" s="14">
        <v>45433</v>
      </c>
      <c r="C16" s="13">
        <v>0.86111111111111116</v>
      </c>
      <c r="D16" s="19" t="s">
        <v>4</v>
      </c>
      <c r="H16" s="1">
        <v>0</v>
      </c>
      <c r="I16" s="1">
        <v>0</v>
      </c>
      <c r="J16" s="1">
        <v>0.93</v>
      </c>
      <c r="K16" s="1">
        <v>4</v>
      </c>
      <c r="L16" s="8">
        <v>6.68</v>
      </c>
      <c r="M16" s="8">
        <v>9</v>
      </c>
      <c r="N16" s="1">
        <v>0</v>
      </c>
      <c r="O16" s="1" t="s">
        <v>38</v>
      </c>
      <c r="P16" s="1">
        <v>0</v>
      </c>
      <c r="Q16" s="24">
        <v>17.233333333333299</v>
      </c>
      <c r="R16" s="1">
        <v>108</v>
      </c>
      <c r="T16" s="19" t="s">
        <v>40</v>
      </c>
    </row>
    <row r="17" spans="1:20" s="1" customFormat="1" x14ac:dyDescent="0.35">
      <c r="A17" s="1">
        <v>16</v>
      </c>
      <c r="B17" s="14">
        <v>45433</v>
      </c>
      <c r="C17" s="13">
        <v>0.90972222222222221</v>
      </c>
      <c r="D17" s="19" t="s">
        <v>4</v>
      </c>
      <c r="G17" s="1">
        <v>30</v>
      </c>
      <c r="H17" s="1">
        <v>1</v>
      </c>
      <c r="I17" s="1">
        <v>0</v>
      </c>
      <c r="J17" s="1">
        <v>0.93</v>
      </c>
      <c r="K17" s="1">
        <v>4</v>
      </c>
      <c r="L17" s="8">
        <v>8.44</v>
      </c>
      <c r="M17" s="8">
        <v>9</v>
      </c>
      <c r="N17" s="1">
        <v>0</v>
      </c>
      <c r="O17" s="1" t="s">
        <v>38</v>
      </c>
      <c r="P17" s="1">
        <v>0.19999999999999801</v>
      </c>
      <c r="Q17" s="24">
        <v>3.8833333333333302</v>
      </c>
      <c r="R17" s="1">
        <v>104</v>
      </c>
      <c r="T17" s="19" t="s">
        <v>104</v>
      </c>
    </row>
    <row r="18" spans="1:20" s="1" customFormat="1" x14ac:dyDescent="0.35">
      <c r="A18" s="1">
        <v>17</v>
      </c>
      <c r="B18" s="14">
        <v>45434</v>
      </c>
      <c r="C18" s="13">
        <v>0.91666666666666663</v>
      </c>
      <c r="D18" s="19" t="s">
        <v>63</v>
      </c>
      <c r="G18" s="1">
        <v>1800</v>
      </c>
      <c r="H18" s="1">
        <v>0</v>
      </c>
      <c r="I18" s="1">
        <v>0</v>
      </c>
      <c r="J18" s="1">
        <v>0.97</v>
      </c>
      <c r="K18" s="1">
        <v>4</v>
      </c>
      <c r="L18" s="1">
        <v>7.53</v>
      </c>
      <c r="M18" s="1">
        <v>5.22</v>
      </c>
      <c r="N18" s="1">
        <v>1</v>
      </c>
      <c r="O18" s="1" t="s">
        <v>37</v>
      </c>
      <c r="R18" s="1">
        <v>60</v>
      </c>
      <c r="T18" s="19" t="s">
        <v>39</v>
      </c>
    </row>
    <row r="19" spans="1:20" s="1" customFormat="1" x14ac:dyDescent="0.35">
      <c r="A19" s="1">
        <v>18</v>
      </c>
      <c r="B19" s="14">
        <v>45538</v>
      </c>
      <c r="C19" s="13">
        <v>0.92013888888888884</v>
      </c>
      <c r="D19" s="19" t="s">
        <v>63</v>
      </c>
      <c r="G19" s="1">
        <v>100</v>
      </c>
      <c r="H19" s="1">
        <v>0</v>
      </c>
      <c r="I19" s="1">
        <v>1</v>
      </c>
      <c r="J19" s="1">
        <v>0</v>
      </c>
      <c r="K19" s="1">
        <v>1</v>
      </c>
      <c r="L19" s="1">
        <v>5.95</v>
      </c>
      <c r="M19" s="1">
        <v>1.62</v>
      </c>
      <c r="N19" s="1">
        <v>3</v>
      </c>
      <c r="O19" s="1" t="s">
        <v>37</v>
      </c>
      <c r="R19" s="1">
        <v>60</v>
      </c>
      <c r="T19" s="19" t="s">
        <v>54</v>
      </c>
    </row>
    <row r="20" spans="1:20" s="1" customFormat="1" x14ac:dyDescent="0.35">
      <c r="A20" s="1">
        <v>19</v>
      </c>
      <c r="B20" s="14">
        <v>45539</v>
      </c>
      <c r="C20" s="13">
        <v>0.91666666666666663</v>
      </c>
      <c r="D20" s="19" t="s">
        <v>4</v>
      </c>
      <c r="G20" s="1">
        <v>750</v>
      </c>
      <c r="H20" s="1">
        <v>1</v>
      </c>
      <c r="I20" s="1">
        <v>1</v>
      </c>
      <c r="J20" s="1">
        <v>0.01</v>
      </c>
      <c r="K20" s="1">
        <v>2</v>
      </c>
      <c r="L20" s="1">
        <v>7.69</v>
      </c>
      <c r="M20" s="1">
        <v>8.4700000000000006</v>
      </c>
      <c r="N20" s="1">
        <v>3</v>
      </c>
      <c r="O20" s="1" t="s">
        <v>37</v>
      </c>
      <c r="R20" s="1">
        <v>60</v>
      </c>
      <c r="T20" s="19" t="s">
        <v>105</v>
      </c>
    </row>
    <row r="21" spans="1:20" s="1" customFormat="1" x14ac:dyDescent="0.35">
      <c r="A21" s="1">
        <v>20</v>
      </c>
      <c r="B21" s="14">
        <v>45539</v>
      </c>
      <c r="C21" s="13">
        <v>0.97916666666666663</v>
      </c>
      <c r="D21" s="19" t="s">
        <v>63</v>
      </c>
      <c r="G21" s="1">
        <v>300</v>
      </c>
      <c r="H21" s="1">
        <v>1</v>
      </c>
      <c r="I21" s="1">
        <v>0</v>
      </c>
      <c r="J21" s="1">
        <v>0.01</v>
      </c>
      <c r="K21" s="1">
        <v>2</v>
      </c>
      <c r="L21" s="1">
        <v>8</v>
      </c>
      <c r="M21" s="1">
        <v>6.02</v>
      </c>
      <c r="N21" s="1">
        <v>2</v>
      </c>
      <c r="O21" s="1" t="s">
        <v>37</v>
      </c>
      <c r="R21" s="1">
        <v>60</v>
      </c>
      <c r="T21" s="19" t="s">
        <v>55</v>
      </c>
    </row>
    <row r="22" spans="1:20" s="1" customFormat="1" x14ac:dyDescent="0.35">
      <c r="A22" s="1">
        <v>21</v>
      </c>
      <c r="B22" s="14">
        <v>45553</v>
      </c>
      <c r="C22" s="13">
        <v>0.9375</v>
      </c>
      <c r="D22" s="19" t="s">
        <v>63</v>
      </c>
      <c r="G22" s="1">
        <v>150</v>
      </c>
      <c r="H22" s="1">
        <v>0</v>
      </c>
      <c r="I22" s="1">
        <v>0</v>
      </c>
      <c r="J22" s="1">
        <v>0.99</v>
      </c>
      <c r="K22" s="1">
        <v>5</v>
      </c>
      <c r="L22" s="1">
        <v>6.96</v>
      </c>
      <c r="M22" s="1">
        <v>1.42</v>
      </c>
      <c r="N22" s="1">
        <v>2</v>
      </c>
      <c r="O22" s="1" t="s">
        <v>37</v>
      </c>
      <c r="R22" s="1">
        <v>60</v>
      </c>
      <c r="T22" s="19"/>
    </row>
    <row r="23" spans="1:20" s="1" customFormat="1" x14ac:dyDescent="0.35">
      <c r="A23" s="1">
        <v>22</v>
      </c>
      <c r="B23" s="14">
        <v>45750</v>
      </c>
      <c r="C23" s="13">
        <v>0.90277777777777779</v>
      </c>
      <c r="D23" s="19" t="s">
        <v>4</v>
      </c>
      <c r="E23" s="1">
        <v>35</v>
      </c>
      <c r="F23" s="1" t="s">
        <v>58</v>
      </c>
      <c r="G23" s="1">
        <v>1900</v>
      </c>
      <c r="H23" s="1">
        <v>0</v>
      </c>
      <c r="I23" s="1">
        <v>1</v>
      </c>
      <c r="J23" s="1">
        <v>0.25</v>
      </c>
      <c r="K23" s="1">
        <v>2</v>
      </c>
      <c r="L23" s="1">
        <v>8.41</v>
      </c>
      <c r="M23" s="1">
        <v>3.18</v>
      </c>
      <c r="N23" s="1">
        <v>1</v>
      </c>
      <c r="O23" s="1" t="s">
        <v>37</v>
      </c>
      <c r="R23" s="1">
        <v>60</v>
      </c>
      <c r="T23" s="19" t="s">
        <v>67</v>
      </c>
    </row>
    <row r="24" spans="1:20" s="1" customFormat="1" x14ac:dyDescent="0.35">
      <c r="A24" s="1">
        <v>23</v>
      </c>
      <c r="B24" s="14">
        <v>45750</v>
      </c>
      <c r="C24" s="13">
        <v>0.97222222222222221</v>
      </c>
      <c r="D24" s="19" t="s">
        <v>4</v>
      </c>
      <c r="E24" s="1">
        <v>35</v>
      </c>
      <c r="F24" s="1" t="s">
        <v>58</v>
      </c>
      <c r="G24" s="1">
        <v>500</v>
      </c>
      <c r="H24" s="1">
        <v>1</v>
      </c>
      <c r="I24" s="1">
        <v>1</v>
      </c>
      <c r="J24" s="1">
        <v>0.25</v>
      </c>
      <c r="K24" s="1">
        <v>2</v>
      </c>
      <c r="L24" s="1">
        <v>8.61</v>
      </c>
      <c r="M24" s="1">
        <v>5</v>
      </c>
      <c r="N24" s="1">
        <v>2</v>
      </c>
      <c r="O24" s="1" t="s">
        <v>37</v>
      </c>
      <c r="R24" s="1">
        <v>60</v>
      </c>
      <c r="T24" s="19" t="s">
        <v>106</v>
      </c>
    </row>
    <row r="25" spans="1:20" s="1" customFormat="1" x14ac:dyDescent="0.35">
      <c r="A25" s="1">
        <v>24</v>
      </c>
      <c r="B25" s="14">
        <v>45757</v>
      </c>
      <c r="C25" s="13">
        <v>2.4305555555555556E-2</v>
      </c>
      <c r="D25" s="19" t="s">
        <v>63</v>
      </c>
      <c r="F25" s="1" t="s">
        <v>58</v>
      </c>
      <c r="G25" s="1">
        <v>250</v>
      </c>
      <c r="H25" s="1">
        <v>0</v>
      </c>
      <c r="I25" s="1">
        <v>0</v>
      </c>
      <c r="J25" s="1">
        <v>0.92</v>
      </c>
      <c r="K25" s="1">
        <v>4</v>
      </c>
      <c r="L25" s="1">
        <v>8</v>
      </c>
      <c r="M25" s="1">
        <v>2.1</v>
      </c>
      <c r="N25" s="1">
        <v>2</v>
      </c>
      <c r="O25" s="1" t="s">
        <v>37</v>
      </c>
      <c r="R25" s="1">
        <v>60</v>
      </c>
      <c r="T25" s="19"/>
    </row>
    <row r="26" spans="1:20" x14ac:dyDescent="0.35">
      <c r="A26" s="1">
        <v>25</v>
      </c>
      <c r="B26" s="14" t="s">
        <v>66</v>
      </c>
      <c r="C26" s="13">
        <v>3.0555555555555555E-2</v>
      </c>
      <c r="D26" s="19" t="s">
        <v>4</v>
      </c>
      <c r="E26" s="1">
        <v>39</v>
      </c>
      <c r="F26" s="1" t="s">
        <v>58</v>
      </c>
      <c r="G26" s="1">
        <v>200</v>
      </c>
      <c r="H26" s="1">
        <v>0</v>
      </c>
      <c r="I26" s="1">
        <v>1</v>
      </c>
      <c r="J26" s="1">
        <v>0.98</v>
      </c>
      <c r="K26" s="1">
        <v>6</v>
      </c>
      <c r="L26" s="1">
        <v>8.52</v>
      </c>
      <c r="M26" s="1">
        <v>2.94</v>
      </c>
      <c r="N26" s="1">
        <v>3</v>
      </c>
      <c r="O26" s="1" t="s">
        <v>37</v>
      </c>
      <c r="R26" s="1">
        <v>60</v>
      </c>
      <c r="T26" s="19" t="s">
        <v>68</v>
      </c>
    </row>
    <row r="27" spans="1:20" x14ac:dyDescent="0.35">
      <c r="A27" s="1">
        <v>26</v>
      </c>
      <c r="B27" s="14">
        <v>45771</v>
      </c>
      <c r="C27" s="13">
        <v>0.91666666666666663</v>
      </c>
      <c r="D27" s="19" t="s">
        <v>63</v>
      </c>
      <c r="E27" s="1">
        <v>46</v>
      </c>
      <c r="F27" s="1" t="s">
        <v>58</v>
      </c>
      <c r="G27" s="1">
        <v>2100</v>
      </c>
      <c r="H27" s="1">
        <v>0</v>
      </c>
      <c r="I27" s="1">
        <v>1</v>
      </c>
      <c r="J27" s="1">
        <v>0.19</v>
      </c>
      <c r="K27" s="1">
        <v>8</v>
      </c>
      <c r="L27" s="1">
        <v>8.4700000000000006</v>
      </c>
      <c r="M27" s="1">
        <v>2.84</v>
      </c>
      <c r="N27" s="1">
        <v>2</v>
      </c>
      <c r="O27" s="1" t="s">
        <v>37</v>
      </c>
      <c r="R27" s="1">
        <v>60</v>
      </c>
      <c r="T27" s="19" t="s">
        <v>107</v>
      </c>
    </row>
    <row r="28" spans="1:20" x14ac:dyDescent="0.35">
      <c r="A28" s="1">
        <v>27</v>
      </c>
      <c r="B28" s="14">
        <v>45771</v>
      </c>
      <c r="C28" s="13">
        <v>0.96875</v>
      </c>
      <c r="D28" s="19" t="s">
        <v>4</v>
      </c>
      <c r="E28" s="1">
        <v>32</v>
      </c>
      <c r="G28" s="1">
        <v>500</v>
      </c>
      <c r="H28" s="1">
        <v>0</v>
      </c>
      <c r="I28" s="1">
        <v>1</v>
      </c>
      <c r="J28" s="1">
        <v>0.19</v>
      </c>
      <c r="K28" s="1">
        <v>8</v>
      </c>
      <c r="L28" s="1">
        <v>8.65</v>
      </c>
      <c r="M28" s="1">
        <v>5.71</v>
      </c>
      <c r="N28" s="1">
        <v>3</v>
      </c>
      <c r="O28" s="1" t="s">
        <v>37</v>
      </c>
      <c r="R28" s="1">
        <v>60</v>
      </c>
      <c r="T28" s="19"/>
    </row>
    <row r="29" spans="1:20" x14ac:dyDescent="0.35">
      <c r="A29" s="1">
        <v>28</v>
      </c>
      <c r="B29" s="14">
        <v>45776</v>
      </c>
      <c r="C29" s="13">
        <v>0.91736111111111107</v>
      </c>
      <c r="D29" s="19" t="s">
        <v>63</v>
      </c>
      <c r="G29" s="1">
        <v>600</v>
      </c>
      <c r="H29" s="1">
        <v>0</v>
      </c>
      <c r="I29" s="1">
        <v>1</v>
      </c>
      <c r="J29" s="1">
        <v>0.02</v>
      </c>
      <c r="K29" s="1">
        <v>2</v>
      </c>
      <c r="L29" s="1">
        <v>8.43</v>
      </c>
      <c r="M29" s="1">
        <v>4.0599999999999996</v>
      </c>
      <c r="N29" s="1">
        <v>2</v>
      </c>
      <c r="O29" s="1" t="s">
        <v>37</v>
      </c>
      <c r="R29" s="1">
        <v>60</v>
      </c>
      <c r="T29" s="19"/>
    </row>
    <row r="30" spans="1:20" x14ac:dyDescent="0.35">
      <c r="A30" s="1">
        <v>29</v>
      </c>
      <c r="B30" s="14">
        <v>45785</v>
      </c>
      <c r="C30" s="13">
        <v>0.87847222222222221</v>
      </c>
      <c r="D30" s="19" t="s">
        <v>63</v>
      </c>
      <c r="F30" s="1" t="s">
        <v>58</v>
      </c>
      <c r="G30" s="1">
        <v>3500</v>
      </c>
      <c r="H30" s="1">
        <v>0</v>
      </c>
      <c r="I30" s="1">
        <v>1</v>
      </c>
      <c r="J30" s="1">
        <v>0.81</v>
      </c>
      <c r="K30" s="1">
        <v>4</v>
      </c>
      <c r="L30" s="1">
        <v>6.57</v>
      </c>
      <c r="M30" s="1">
        <v>4.49</v>
      </c>
      <c r="N30" s="1">
        <v>3</v>
      </c>
      <c r="O30" s="1" t="s">
        <v>37</v>
      </c>
      <c r="R30" s="1">
        <v>60</v>
      </c>
      <c r="T30" s="19"/>
    </row>
    <row r="31" spans="1:20" x14ac:dyDescent="0.35">
      <c r="A31" s="1">
        <v>30</v>
      </c>
      <c r="B31" s="14">
        <v>45792</v>
      </c>
      <c r="C31" s="13">
        <v>0.89583333333333337</v>
      </c>
      <c r="D31" s="19" t="s">
        <v>4</v>
      </c>
      <c r="E31" s="1">
        <v>35</v>
      </c>
      <c r="F31" s="1" t="s">
        <v>70</v>
      </c>
      <c r="G31" s="1">
        <v>650</v>
      </c>
      <c r="H31" s="1">
        <v>0</v>
      </c>
      <c r="I31" s="1">
        <v>1</v>
      </c>
      <c r="J31" s="1">
        <v>0.95</v>
      </c>
      <c r="K31" s="1">
        <v>6</v>
      </c>
      <c r="L31" s="1">
        <v>8.5500000000000007</v>
      </c>
      <c r="M31" s="1">
        <v>2.65</v>
      </c>
      <c r="N31" s="1">
        <v>3</v>
      </c>
      <c r="O31" s="1" t="s">
        <v>37</v>
      </c>
      <c r="R31" s="1">
        <v>60</v>
      </c>
      <c r="T31" s="19" t="s">
        <v>109</v>
      </c>
    </row>
    <row r="32" spans="1:20" x14ac:dyDescent="0.35">
      <c r="A32" s="8">
        <v>31</v>
      </c>
      <c r="B32" s="16">
        <v>45799</v>
      </c>
      <c r="C32" s="18">
        <v>0.88124999999999998</v>
      </c>
      <c r="D32" s="20" t="s">
        <v>63</v>
      </c>
      <c r="E32" s="8"/>
      <c r="F32" s="8"/>
      <c r="G32" s="8"/>
      <c r="H32" s="8">
        <v>0</v>
      </c>
      <c r="I32" s="8">
        <v>0</v>
      </c>
      <c r="J32" s="8">
        <v>0.33</v>
      </c>
      <c r="K32" s="8">
        <v>8</v>
      </c>
      <c r="L32" s="8">
        <v>8.86</v>
      </c>
      <c r="M32" s="8">
        <v>8.1999999999999993</v>
      </c>
      <c r="N32" s="8">
        <v>1</v>
      </c>
      <c r="O32" s="8"/>
      <c r="P32" s="8"/>
      <c r="Q32" s="8"/>
      <c r="R32" s="8">
        <v>60</v>
      </c>
      <c r="S32" s="8"/>
      <c r="T32" s="20" t="s">
        <v>85</v>
      </c>
    </row>
    <row r="33" spans="1:20" x14ac:dyDescent="0.35">
      <c r="A33" s="8">
        <v>32</v>
      </c>
      <c r="B33" s="16">
        <v>45799</v>
      </c>
      <c r="C33" s="18">
        <v>0.96527777777777779</v>
      </c>
      <c r="D33" s="20" t="s">
        <v>63</v>
      </c>
      <c r="E33" s="8">
        <v>45</v>
      </c>
      <c r="F33" s="8" t="s">
        <v>70</v>
      </c>
      <c r="G33" s="8">
        <v>800</v>
      </c>
      <c r="H33" s="8">
        <v>0</v>
      </c>
      <c r="I33" s="8">
        <v>1</v>
      </c>
      <c r="J33" s="8">
        <v>0.33</v>
      </c>
      <c r="K33" s="8">
        <v>8</v>
      </c>
      <c r="L33" s="8">
        <v>8.1999999999999993</v>
      </c>
      <c r="M33" s="8">
        <v>0.83</v>
      </c>
      <c r="N33" s="8"/>
      <c r="O33" s="8"/>
      <c r="P33" s="8"/>
      <c r="Q33" s="8"/>
      <c r="R33" s="8">
        <v>60</v>
      </c>
      <c r="S33" s="8"/>
      <c r="T33" s="20" t="s">
        <v>85</v>
      </c>
    </row>
    <row r="34" spans="1:20" x14ac:dyDescent="0.35">
      <c r="G34"/>
      <c r="H34"/>
      <c r="I34"/>
      <c r="J34"/>
      <c r="L34"/>
      <c r="M34"/>
      <c r="N34"/>
      <c r="O34"/>
      <c r="P34"/>
      <c r="Q34"/>
      <c r="R34"/>
      <c r="S34"/>
      <c r="T34"/>
    </row>
  </sheetData>
  <pageMargins left="0.7" right="0.7" top="0.75" bottom="0.75" header="0.3" footer="0.3"/>
  <pageSetup paperSize="9" orientation="landscape"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22043-797B-4C74-86F2-44CFD124FBDE}">
  <dimension ref="A1:S18"/>
  <sheetViews>
    <sheetView workbookViewId="0">
      <selection activeCell="O5" sqref="O4:O5"/>
    </sheetView>
  </sheetViews>
  <sheetFormatPr defaultRowHeight="14.5" x14ac:dyDescent="0.35"/>
  <cols>
    <col min="1" max="1" width="3.7265625" style="1" bestFit="1" customWidth="1"/>
    <col min="2" max="2" width="10.453125" style="1" bestFit="1" customWidth="1"/>
    <col min="3" max="3" width="9" style="1"/>
    <col min="4" max="4" width="16.08984375" style="1" bestFit="1" customWidth="1"/>
    <col min="5" max="5" width="7" style="1" bestFit="1" customWidth="1"/>
    <col min="6" max="6" width="6.08984375" style="1" bestFit="1" customWidth="1"/>
    <col min="7" max="7" width="12.6328125" style="1" bestFit="1" customWidth="1"/>
    <col min="8" max="8" width="10.90625" style="1" bestFit="1" customWidth="1"/>
    <col min="9" max="9" width="10.08984375" style="1" bestFit="1" customWidth="1"/>
    <col min="10" max="10" width="5.453125" style="1" bestFit="1" customWidth="1"/>
    <col min="11" max="11" width="5.453125" style="1" customWidth="1"/>
    <col min="12" max="12" width="9" style="1"/>
    <col min="13" max="13" width="13" style="1" bestFit="1" customWidth="1"/>
    <col min="14" max="14" width="21.08984375" style="1" bestFit="1" customWidth="1"/>
    <col min="15" max="15" width="85.7265625" style="1" bestFit="1" customWidth="1"/>
    <col min="16" max="19" width="9" style="1"/>
  </cols>
  <sheetData>
    <row r="1" spans="1:15" x14ac:dyDescent="0.35">
      <c r="A1" s="19" t="s">
        <v>0</v>
      </c>
      <c r="B1" s="21" t="s">
        <v>1</v>
      </c>
      <c r="C1" s="22" t="s">
        <v>90</v>
      </c>
      <c r="D1" s="19" t="s">
        <v>2</v>
      </c>
      <c r="E1" s="19" t="s">
        <v>57</v>
      </c>
      <c r="F1" s="19" t="s">
        <v>56</v>
      </c>
      <c r="G1" s="19" t="s">
        <v>92</v>
      </c>
      <c r="H1" s="19" t="s">
        <v>94</v>
      </c>
      <c r="I1" s="19" t="s">
        <v>3</v>
      </c>
      <c r="J1" s="19" t="s">
        <v>96</v>
      </c>
      <c r="K1" s="19" t="s">
        <v>76</v>
      </c>
      <c r="L1" s="19" t="s">
        <v>86</v>
      </c>
      <c r="M1" s="19" t="s">
        <v>87</v>
      </c>
      <c r="N1" s="19" t="s">
        <v>60</v>
      </c>
      <c r="O1" s="19" t="s">
        <v>110</v>
      </c>
    </row>
    <row r="2" spans="1:15" x14ac:dyDescent="0.35">
      <c r="A2" s="1">
        <v>1</v>
      </c>
      <c r="B2" s="14">
        <v>45729</v>
      </c>
      <c r="C2" s="15">
        <v>9.0277777777777776E-2</v>
      </c>
      <c r="D2" s="1" t="s">
        <v>4</v>
      </c>
      <c r="E2" s="1" t="s">
        <v>58</v>
      </c>
      <c r="F2" s="1">
        <v>34</v>
      </c>
      <c r="G2" s="1">
        <v>10</v>
      </c>
      <c r="H2" s="1">
        <v>1</v>
      </c>
      <c r="I2" s="1">
        <v>0</v>
      </c>
      <c r="J2" s="1">
        <v>0.98</v>
      </c>
      <c r="K2" s="1">
        <v>5</v>
      </c>
      <c r="L2" s="1">
        <v>9</v>
      </c>
      <c r="M2" s="1">
        <v>9</v>
      </c>
      <c r="N2" s="1" t="s">
        <v>59</v>
      </c>
      <c r="O2" s="19"/>
    </row>
    <row r="3" spans="1:15" x14ac:dyDescent="0.35">
      <c r="A3" s="1">
        <v>2</v>
      </c>
      <c r="B3" s="14">
        <v>45750</v>
      </c>
      <c r="C3" s="15">
        <v>0.88888888888888884</v>
      </c>
      <c r="D3" s="1" t="s">
        <v>4</v>
      </c>
      <c r="E3" s="1" t="s">
        <v>58</v>
      </c>
      <c r="F3" s="1">
        <v>34</v>
      </c>
      <c r="G3" s="1" t="s">
        <v>61</v>
      </c>
      <c r="H3" s="1">
        <v>0</v>
      </c>
      <c r="I3" s="1">
        <v>0</v>
      </c>
      <c r="J3" s="1">
        <v>0.25</v>
      </c>
      <c r="K3" s="1">
        <v>2</v>
      </c>
      <c r="L3" s="1">
        <v>8.3699999999999992</v>
      </c>
      <c r="M3" s="1">
        <v>8.76</v>
      </c>
      <c r="N3" s="1" t="s">
        <v>62</v>
      </c>
      <c r="O3" s="19"/>
    </row>
    <row r="4" spans="1:15" x14ac:dyDescent="0.35">
      <c r="A4" s="8">
        <v>3</v>
      </c>
      <c r="B4" s="16">
        <v>45750</v>
      </c>
      <c r="C4" s="17">
        <v>3.6111111111111108E-2</v>
      </c>
      <c r="D4" s="8" t="s">
        <v>63</v>
      </c>
      <c r="E4" s="8" t="s">
        <v>58</v>
      </c>
      <c r="F4" s="8">
        <v>64</v>
      </c>
      <c r="G4" s="8" t="s">
        <v>61</v>
      </c>
      <c r="H4" s="8">
        <v>0</v>
      </c>
      <c r="I4" s="8">
        <v>0</v>
      </c>
      <c r="J4" s="8">
        <v>0.25</v>
      </c>
      <c r="K4" s="8">
        <v>2</v>
      </c>
      <c r="L4" s="8">
        <v>5.93</v>
      </c>
      <c r="M4" s="8">
        <v>7.71</v>
      </c>
      <c r="N4" s="8" t="s">
        <v>64</v>
      </c>
      <c r="O4" s="8" t="s">
        <v>122</v>
      </c>
    </row>
    <row r="5" spans="1:15" x14ac:dyDescent="0.35">
      <c r="A5" s="8">
        <v>4</v>
      </c>
      <c r="B5" s="16">
        <v>45757</v>
      </c>
      <c r="C5" s="35" t="s">
        <v>65</v>
      </c>
      <c r="D5" s="35"/>
      <c r="E5" s="35"/>
      <c r="F5" s="35"/>
      <c r="G5" s="35"/>
      <c r="H5" s="35"/>
      <c r="I5" s="35"/>
      <c r="J5" s="8">
        <v>0.92</v>
      </c>
      <c r="K5" s="8">
        <v>4</v>
      </c>
      <c r="L5" s="8">
        <v>8.68</v>
      </c>
      <c r="M5" s="8">
        <v>9</v>
      </c>
      <c r="N5" s="8"/>
      <c r="O5" s="8" t="s">
        <v>65</v>
      </c>
    </row>
    <row r="6" spans="1:15" x14ac:dyDescent="0.35">
      <c r="A6" s="1">
        <v>5</v>
      </c>
      <c r="B6" s="14">
        <v>45757</v>
      </c>
      <c r="C6" s="15">
        <v>1.8749999999999999E-2</v>
      </c>
      <c r="D6" s="1" t="s">
        <v>63</v>
      </c>
      <c r="I6" s="1">
        <v>0</v>
      </c>
      <c r="J6" s="1">
        <v>0.82</v>
      </c>
      <c r="K6" s="1">
        <v>4</v>
      </c>
      <c r="L6" s="1">
        <v>6.9</v>
      </c>
      <c r="M6" s="1">
        <v>9</v>
      </c>
      <c r="N6" s="1" t="s">
        <v>71</v>
      </c>
      <c r="O6" s="19"/>
    </row>
    <row r="7" spans="1:15" x14ac:dyDescent="0.35">
      <c r="A7" s="1">
        <v>6</v>
      </c>
      <c r="B7" s="14">
        <v>45771</v>
      </c>
      <c r="C7" s="15">
        <v>0.87777777777777777</v>
      </c>
      <c r="D7" s="1" t="s">
        <v>63</v>
      </c>
      <c r="E7" s="1" t="s">
        <v>58</v>
      </c>
      <c r="F7" s="1">
        <v>68</v>
      </c>
      <c r="I7" s="1">
        <v>0</v>
      </c>
      <c r="J7" s="1">
        <v>0.19</v>
      </c>
      <c r="K7" s="1">
        <v>8</v>
      </c>
      <c r="L7" s="1">
        <v>6.47</v>
      </c>
      <c r="M7" s="1">
        <v>7.25</v>
      </c>
      <c r="N7" s="1" t="s">
        <v>72</v>
      </c>
      <c r="O7" s="19"/>
    </row>
    <row r="8" spans="1:15" x14ac:dyDescent="0.35">
      <c r="A8" s="1">
        <v>7</v>
      </c>
      <c r="B8" s="14">
        <v>45771</v>
      </c>
      <c r="C8" s="15">
        <v>4.791666666666667E-2</v>
      </c>
      <c r="D8" s="1" t="s">
        <v>4</v>
      </c>
      <c r="E8" s="1" t="s">
        <v>58</v>
      </c>
      <c r="F8" s="1">
        <v>41</v>
      </c>
      <c r="I8" s="1">
        <v>0</v>
      </c>
      <c r="J8" s="1">
        <v>0.19</v>
      </c>
      <c r="K8" s="1">
        <v>8</v>
      </c>
      <c r="L8" s="1">
        <v>7.62</v>
      </c>
      <c r="M8" s="1">
        <v>5.08</v>
      </c>
      <c r="N8" s="1" t="s">
        <v>73</v>
      </c>
      <c r="O8" s="19"/>
    </row>
    <row r="9" spans="1:15" x14ac:dyDescent="0.35">
      <c r="A9" s="1">
        <v>8</v>
      </c>
      <c r="B9" s="14">
        <v>45776</v>
      </c>
      <c r="C9" s="15">
        <v>0.98055555555555551</v>
      </c>
      <c r="D9" s="1" t="s">
        <v>63</v>
      </c>
      <c r="G9" s="1">
        <v>1200</v>
      </c>
      <c r="H9" s="1">
        <v>1</v>
      </c>
      <c r="I9" s="1">
        <v>1</v>
      </c>
      <c r="J9" s="1">
        <v>0.02</v>
      </c>
      <c r="K9" s="1">
        <v>2</v>
      </c>
      <c r="L9" s="1">
        <v>6.27</v>
      </c>
      <c r="M9" s="1">
        <v>6.45</v>
      </c>
      <c r="N9" s="1" t="s">
        <v>69</v>
      </c>
      <c r="O9" s="19"/>
    </row>
    <row r="10" spans="1:15" x14ac:dyDescent="0.35">
      <c r="A10" s="1">
        <v>9</v>
      </c>
      <c r="B10" s="14">
        <v>45785</v>
      </c>
      <c r="C10" s="15">
        <v>4.4444444444444446E-2</v>
      </c>
      <c r="D10" s="1" t="s">
        <v>4</v>
      </c>
      <c r="E10" s="1" t="s">
        <v>70</v>
      </c>
      <c r="F10" s="1">
        <v>36</v>
      </c>
      <c r="I10" s="1">
        <v>0</v>
      </c>
      <c r="J10" s="1">
        <v>0.81</v>
      </c>
      <c r="K10" s="1">
        <v>4</v>
      </c>
      <c r="L10" s="1">
        <v>5.58</v>
      </c>
      <c r="M10" s="1">
        <v>8.89</v>
      </c>
      <c r="N10" s="1" t="s">
        <v>74</v>
      </c>
      <c r="O10" s="19"/>
    </row>
    <row r="11" spans="1:15" x14ac:dyDescent="0.35">
      <c r="A11" s="1">
        <v>10</v>
      </c>
      <c r="B11" s="14">
        <v>45792</v>
      </c>
      <c r="C11" s="15">
        <v>0.87083333333333335</v>
      </c>
      <c r="D11" s="1" t="s">
        <v>63</v>
      </c>
      <c r="E11" s="1" t="s">
        <v>70</v>
      </c>
      <c r="I11" s="1">
        <v>1</v>
      </c>
      <c r="J11" s="1">
        <v>0.95</v>
      </c>
      <c r="K11" s="1">
        <v>6</v>
      </c>
      <c r="L11" s="1">
        <v>4.62</v>
      </c>
      <c r="M11" s="1">
        <v>5.96</v>
      </c>
      <c r="O11" s="19"/>
    </row>
    <row r="12" spans="1:15" x14ac:dyDescent="0.35">
      <c r="A12" s="1">
        <v>11</v>
      </c>
      <c r="B12" s="14">
        <v>45792</v>
      </c>
      <c r="C12" s="15">
        <v>7.6388888888888886E-3</v>
      </c>
      <c r="D12" s="1" t="s">
        <v>4</v>
      </c>
      <c r="E12" s="1" t="s">
        <v>70</v>
      </c>
      <c r="I12" s="1">
        <v>1</v>
      </c>
      <c r="J12" s="1">
        <v>0.95</v>
      </c>
      <c r="K12" s="1">
        <v>6</v>
      </c>
      <c r="L12" s="1">
        <v>6.05</v>
      </c>
      <c r="M12" s="1">
        <v>6.96</v>
      </c>
      <c r="O12" s="19"/>
    </row>
    <row r="13" spans="1:15" x14ac:dyDescent="0.35">
      <c r="A13" s="1">
        <v>12</v>
      </c>
      <c r="B13" s="14">
        <v>45799</v>
      </c>
      <c r="C13" s="15">
        <v>0.88541666666666663</v>
      </c>
      <c r="D13" s="1" t="s">
        <v>63</v>
      </c>
      <c r="E13" s="1" t="s">
        <v>70</v>
      </c>
      <c r="F13" s="1">
        <v>40</v>
      </c>
      <c r="I13" s="1">
        <v>1</v>
      </c>
      <c r="J13" s="1">
        <v>0.33</v>
      </c>
      <c r="K13" s="1">
        <v>8</v>
      </c>
      <c r="L13" s="1">
        <v>5.96</v>
      </c>
      <c r="M13" s="1">
        <v>8.26</v>
      </c>
      <c r="O13" s="23" t="s">
        <v>75</v>
      </c>
    </row>
    <row r="14" spans="1:15" x14ac:dyDescent="0.35">
      <c r="A14" s="1">
        <v>13</v>
      </c>
      <c r="B14" s="14">
        <v>45799</v>
      </c>
      <c r="C14" s="15">
        <v>1.8749999999999999E-2</v>
      </c>
      <c r="I14" s="1">
        <v>0</v>
      </c>
      <c r="J14" s="1">
        <v>0.33</v>
      </c>
      <c r="K14" s="1">
        <v>8</v>
      </c>
      <c r="L14" s="1">
        <v>5.25</v>
      </c>
      <c r="M14" s="1">
        <v>6.48</v>
      </c>
      <c r="O14" s="19"/>
    </row>
    <row r="15" spans="1:15" x14ac:dyDescent="0.35">
      <c r="A15" s="1">
        <v>14</v>
      </c>
      <c r="B15" s="14">
        <v>45820</v>
      </c>
      <c r="C15" s="15">
        <v>0.88541666666666663</v>
      </c>
      <c r="D15" s="1" t="s">
        <v>4</v>
      </c>
      <c r="E15" s="1" t="s">
        <v>70</v>
      </c>
      <c r="F15" s="1">
        <v>27</v>
      </c>
      <c r="G15" s="1">
        <v>220</v>
      </c>
      <c r="J15" s="1">
        <v>1</v>
      </c>
      <c r="K15" s="1">
        <v>4</v>
      </c>
      <c r="L15" s="1">
        <v>3.49</v>
      </c>
      <c r="M15" s="1">
        <v>4.07</v>
      </c>
      <c r="N15" s="1" t="s">
        <v>78</v>
      </c>
      <c r="O15" s="19" t="s">
        <v>80</v>
      </c>
    </row>
    <row r="16" spans="1:15" x14ac:dyDescent="0.35">
      <c r="A16" s="1">
        <v>15</v>
      </c>
      <c r="B16" s="14">
        <v>45820</v>
      </c>
      <c r="C16" s="15">
        <v>5.4166666666666669E-2</v>
      </c>
      <c r="D16" s="1" t="s">
        <v>4</v>
      </c>
      <c r="J16" s="1">
        <v>1</v>
      </c>
      <c r="K16" s="1">
        <v>4</v>
      </c>
      <c r="L16" s="1">
        <v>4</v>
      </c>
      <c r="M16" s="1">
        <v>4.22</v>
      </c>
      <c r="N16" s="1" t="s">
        <v>79</v>
      </c>
      <c r="O16" s="19"/>
    </row>
    <row r="17" spans="1:15" x14ac:dyDescent="0.35">
      <c r="A17" s="1">
        <v>16</v>
      </c>
      <c r="B17" s="14">
        <v>45841</v>
      </c>
      <c r="C17" s="15">
        <v>0.8881944444444444</v>
      </c>
      <c r="D17" s="1" t="s">
        <v>4</v>
      </c>
      <c r="E17" s="1" t="s">
        <v>81</v>
      </c>
      <c r="F17" s="1">
        <v>21</v>
      </c>
      <c r="G17" s="1">
        <v>2000</v>
      </c>
      <c r="H17" s="1">
        <v>0</v>
      </c>
      <c r="I17" s="1">
        <v>0</v>
      </c>
      <c r="J17" s="1">
        <v>0.6</v>
      </c>
      <c r="K17" s="1">
        <v>3</v>
      </c>
      <c r="L17" s="1">
        <v>6.04</v>
      </c>
      <c r="M17" s="1">
        <v>5.09</v>
      </c>
      <c r="N17" s="1" t="s">
        <v>82</v>
      </c>
      <c r="O17" s="19" t="s">
        <v>84</v>
      </c>
    </row>
    <row r="18" spans="1:15" x14ac:dyDescent="0.35">
      <c r="A18" s="1">
        <v>17</v>
      </c>
      <c r="B18" s="14">
        <v>45841</v>
      </c>
      <c r="C18" s="15">
        <v>4.1666666666666666E-3</v>
      </c>
      <c r="D18" s="1" t="s">
        <v>4</v>
      </c>
      <c r="E18" s="1" t="s">
        <v>81</v>
      </c>
      <c r="F18" s="1">
        <v>22</v>
      </c>
      <c r="G18" s="1">
        <v>1400</v>
      </c>
      <c r="H18" s="1">
        <v>0</v>
      </c>
      <c r="I18" s="1">
        <v>0</v>
      </c>
      <c r="J18" s="1">
        <v>0.6</v>
      </c>
      <c r="K18" s="1">
        <v>3</v>
      </c>
      <c r="L18" s="1">
        <v>5.63</v>
      </c>
      <c r="M18" s="1">
        <v>6.48</v>
      </c>
      <c r="N18" s="1" t="s">
        <v>83</v>
      </c>
      <c r="O18" s="19" t="s">
        <v>84</v>
      </c>
    </row>
  </sheetData>
  <mergeCells count="1">
    <mergeCell ref="C5:I5"/>
  </mergeCells>
  <pageMargins left="0.7" right="0.7" top="0.75" bottom="0.75" header="0.3" footer="0.3"/>
  <pageSetup paperSize="9" orientation="landscape"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181AC66AB5254EBD1975B72583D826" ma:contentTypeVersion="19" ma:contentTypeDescription="Create a new document." ma:contentTypeScope="" ma:versionID="a93c764326e2b9f21999837c1acc5f31">
  <xsd:schema xmlns:xsd="http://www.w3.org/2001/XMLSchema" xmlns:xs="http://www.w3.org/2001/XMLSchema" xmlns:p="http://schemas.microsoft.com/office/2006/metadata/properties" xmlns:ns3="65026f3e-5fc4-4bd3-99b9-22a0cbdf00b4" xmlns:ns4="4381f1dc-0598-4fa5-be85-5f7638dad1ed" targetNamespace="http://schemas.microsoft.com/office/2006/metadata/properties" ma:root="true" ma:fieldsID="e0a3457665a7eba511849e369c92b8b4" ns3:_="" ns4:_="">
    <xsd:import namespace="65026f3e-5fc4-4bd3-99b9-22a0cbdf00b4"/>
    <xsd:import namespace="4381f1dc-0598-4fa5-be85-5f7638dad1e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element ref="ns4:_activity" minOccurs="0"/>
                <xsd:element ref="ns4:MediaLengthInSeconds" minOccurs="0"/>
                <xsd:element ref="ns4:MediaServiceObjectDetectorVersions" minOccurs="0"/>
                <xsd:element ref="ns4:MediaServiceSearchProperties" minOccurs="0"/>
                <xsd:element ref="ns4:MediaServiceSystemTags"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026f3e-5fc4-4bd3-99b9-22a0cbdf00b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81f1dc-0598-4fa5-be85-5f7638dad1e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_activity" ma:index="21" nillable="true" ma:displayName="_activity" ma:hidden="true" ma:internalName="_activity">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SystemTags" ma:index="25" nillable="true" ma:displayName="MediaServiceSystemTags" ma:hidden="true" ma:internalName="MediaServiceSystemTag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381f1dc-0598-4fa5-be85-5f7638dad1ed" xsi:nil="true"/>
  </documentManagement>
</p:properties>
</file>

<file path=customXml/itemProps1.xml><?xml version="1.0" encoding="utf-8"?>
<ds:datastoreItem xmlns:ds="http://schemas.openxmlformats.org/officeDocument/2006/customXml" ds:itemID="{1DEE4393-7C5E-41A8-B18E-4DC8ECC56A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026f3e-5fc4-4bd3-99b9-22a0cbdf00b4"/>
    <ds:schemaRef ds:uri="4381f1dc-0598-4fa5-be85-5f7638dad1e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A38C67-9B8D-484E-9976-5B80BA875312}">
  <ds:schemaRefs>
    <ds:schemaRef ds:uri="http://schemas.microsoft.com/sharepoint/v3/contenttype/forms"/>
  </ds:schemaRefs>
</ds:datastoreItem>
</file>

<file path=customXml/itemProps3.xml><?xml version="1.0" encoding="utf-8"?>
<ds:datastoreItem xmlns:ds="http://schemas.openxmlformats.org/officeDocument/2006/customXml" ds:itemID="{430426E5-3BB3-499A-9BB7-A00EB02713A5}">
  <ds:schemaRefs>
    <ds:schemaRef ds:uri="http://schemas.microsoft.com/office/2006/metadata/properties"/>
    <ds:schemaRef ds:uri="http://purl.org/dc/terms/"/>
    <ds:schemaRef ds:uri="http://purl.org/dc/elements/1.1/"/>
    <ds:schemaRef ds:uri="http://schemas.microsoft.com/office/infopath/2007/PartnerControls"/>
    <ds:schemaRef ds:uri="http://www.w3.org/XML/1998/namespace"/>
    <ds:schemaRef ds:uri="http://schemas.microsoft.com/office/2006/documentManagement/types"/>
    <ds:schemaRef ds:uri="65026f3e-5fc4-4bd3-99b9-22a0cbdf00b4"/>
    <ds:schemaRef ds:uri="http://schemas.openxmlformats.org/package/2006/metadata/core-properties"/>
    <ds:schemaRef ds:uri="4381f1dc-0598-4fa5-be85-5f7638dad1ed"/>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time_analysis (2)</vt:lpstr>
      <vt:lpstr>title</vt:lpstr>
      <vt:lpstr>keys</vt:lpstr>
      <vt:lpstr>maze</vt:lpstr>
      <vt:lpstr>control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InonS14</dc:creator>
  <cp:lastModifiedBy>Aryeh Dorfman</cp:lastModifiedBy>
  <dcterms:created xsi:type="dcterms:W3CDTF">2015-06-05T18:19:34Z</dcterms:created>
  <dcterms:modified xsi:type="dcterms:W3CDTF">2026-02-25T06:00:27Z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0x010100C4181AC66AB5254EBD1975B72583D826</vt:lpwstr>
  </property>
</Properties>
</file>